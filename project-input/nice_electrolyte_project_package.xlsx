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e2322af1184f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ea8eb861593e4b03"/>
    <x:sheet xmlns:r="http://schemas.openxmlformats.org/officeDocument/2006/relationships" name="Summary" sheetId="2" r:id="R6a7e2614bcbe4ca9"/>
    <x:sheet xmlns:r="http://schemas.openxmlformats.org/officeDocument/2006/relationships" name="Coverage_Matrix" sheetId="3" r:id="R3f494329cf894682"/>
    <x:sheet xmlns:r="http://schemas.openxmlformats.org/officeDocument/2006/relationships" name="NICE_Rules" sheetId="4" r:id="R21343ffe33734c4d"/>
    <x:sheet xmlns:r="http://schemas.openxmlformats.org/officeDocument/2006/relationships" name="Sample_Cases" sheetId="5" r:id="Ra0160934862a46ad"/>
    <x:sheet xmlns:r="http://schemas.openxmlformats.org/officeDocument/2006/relationships" name="Boundary_Tests" sheetId="6" r:id="R72b586233bb24f8f"/>
    <x:sheet xmlns:r="http://schemas.openxmlformats.org/officeDocument/2006/relationships" name="Resource_Search" sheetId="7" r:id="R779d15f6eb2b4b20"/>
    <x:sheet xmlns:r="http://schemas.openxmlformats.org/officeDocument/2006/relationships" name="Execution_Roadmap" sheetId="8" r:id="Rce168a0ad65842a3"/>
    <x:sheet xmlns:r="http://schemas.openxmlformats.org/officeDocument/2006/relationships" name="Acceptance_Criteria" sheetId="9" r:id="Radc074b19b524a0c"/>
    <x:sheet xmlns:r="http://schemas.openxmlformats.org/officeDocument/2006/relationships" name="Data_Dictionary" sheetId="10" r:id="Rc28f3be316ea4d65"/>
    <x:sheet xmlns:r="http://schemas.openxmlformats.org/officeDocument/2006/relationships" name="NICE_Sources" sheetId="11" r:id="R0b5f8ccb25b047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F4E78"/>
      </x:patternFill>
    </x:fill>
    <x:fill>
      <x:patternFill patternType="solid">
        <x:fgColor rgb="FFDCEAF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</x:cellXfs>
  <x:cellStyles count="1">
    <x:cellStyle name="Normal" xfId="0"/>
  </x:cellStyles>
  <x:dxfs count="5">
    <x:dxf>
      <x:font>
        <x:b/>
      </x:font>
      <x:fill>
        <x:patternFill>
          <x:bgColor rgb="FFD9EAD3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CE8C3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be3f97b3684aac" /><Relationship Type="http://schemas.openxmlformats.org/officeDocument/2006/relationships/theme" Target="/xl/theme/theme1.xml" Id="R82b28ff875354a5d" /><Relationship Type="http://schemas.openxmlformats.org/officeDocument/2006/relationships/sharedStrings" Target="/xl/sharedStrings.xml" Id="Re1105526a6c84132" /><Relationship Type="http://schemas.openxmlformats.org/officeDocument/2006/relationships/worksheet" Target="/xl/worksheets/sheet1.xml" Id="Rea8eb861593e4b03" /><Relationship Type="http://schemas.openxmlformats.org/officeDocument/2006/relationships/worksheet" Target="/xl/worksheets/sheet2.xml" Id="R6a7e2614bcbe4ca9" /><Relationship Type="http://schemas.openxmlformats.org/officeDocument/2006/relationships/worksheet" Target="/xl/worksheets/sheet3.xml" Id="R3f494329cf894682" /><Relationship Type="http://schemas.openxmlformats.org/officeDocument/2006/relationships/worksheet" Target="/xl/worksheets/sheet4.xml" Id="R21343ffe33734c4d" /><Relationship Type="http://schemas.openxmlformats.org/officeDocument/2006/relationships/worksheet" Target="/xl/worksheets/sheet5.xml" Id="Ra0160934862a46ad" /><Relationship Type="http://schemas.openxmlformats.org/officeDocument/2006/relationships/worksheet" Target="/xl/worksheets/sheet6.xml" Id="R72b586233bb24f8f" /><Relationship Type="http://schemas.openxmlformats.org/officeDocument/2006/relationships/worksheet" Target="/xl/worksheets/sheet7.xml" Id="R779d15f6eb2b4b20" /><Relationship Type="http://schemas.openxmlformats.org/officeDocument/2006/relationships/worksheet" Target="/xl/worksheets/sheet8.xml" Id="Rce168a0ad65842a3" /><Relationship Type="http://schemas.openxmlformats.org/officeDocument/2006/relationships/worksheet" Target="/xl/worksheets/sheet9.xml" Id="Radc074b19b524a0c" /><Relationship Type="http://schemas.openxmlformats.org/officeDocument/2006/relationships/worksheet" Target="/xl/worksheets/sheet10.xml" Id="Rc28f3be316ea4d65" /><Relationship Type="http://schemas.openxmlformats.org/officeDocument/2006/relationships/worksheet" Target="/xl/worksheets/sheet11.xml" Id="R0b5f8ccb25b047f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c5c617ba54645c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NICE Coverage by Condition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Coverage score</c:v>
          </c:tx>
          <c:cat>
            <c:strRef>
              <c:f>'Summary'!$G$4:$G$11</c:f>
              <c:strCache>
                <c:ptCount val="0"/>
              </c:strCache>
            </c:strRef>
          </c:cat>
          <c:val>
            <c:numRef>
              <c:f>'Summary'!$H$4:$H$11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12</xdr:row>
      <xdr:rowOff>0</xdr:rowOff>
    </xdr:from>
    <xdr:to>
      <xdr:col>14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c5c617ba54645ca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ce8348ae157f434b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88" hidden="0" customWidth="1"/>
  </x:cols>
  <x:sheetData>
    <x:row r="1" ht="32" customHeight="1">
      <x:c r="A1" s="4" t="str">
        <x:v>NICE-Only Electrolyte Project Package</x:v>
      </x:c>
      <x:c r="B1" s="4" t="str"/>
      <x:c r="C1" s="4" t="str"/>
      <x:c r="D1" s="4" t="str"/>
      <x:c r="E1" s="4" t="str"/>
      <x:c r="F1" s="4" t="str"/>
      <x:c r="G1" s="4" t="str"/>
      <x:c r="H1" s="4" t="str"/>
    </x:row>
    <x:row r="3" ht="30" customHeight="1">
      <x:c r="A3" s="12" t="str">
        <x:v>Item</x:v>
      </x:c>
      <x:c r="B3" s="12" t="str">
        <x:v>Details</x:v>
      </x:c>
    </x:row>
    <x:row r="4">
      <x:c r="A4" s="19" t="str">
        <x:v>Management-source policy</x:v>
      </x:c>
      <x:c r="B4" s="22" t="str">
        <x:v>Only NICE recommendations may generate management outputs.</x:v>
      </x:c>
    </x:row>
    <x:row r="5">
      <x:c r="A5" s="19" t="str">
        <x:v>Synthetic cases</x:v>
      </x:c>
      <x:c r="B5" s="22" t="str">
        <x:v>1,000 adult synthetic cases in the complete CSV.</x:v>
      </x:c>
    </x:row>
    <x:row r="6">
      <x:c r="A6" s="19" t="str">
        <x:v>Clinical rules</x:v>
      </x:c>
      <x:c r="B6" s="22" t="str">
        <x:v>15 NICE-only and safety rules.</x:v>
      </x:c>
    </x:row>
    <x:row r="7">
      <x:c r="A7" s="19" t="str">
        <x:v>Primary MVP</x:v>
      </x:c>
      <x:c r="B7" s="22" t="str">
        <x:v>Hyperkalaemia; IV-fluid-related sodium/potassium abnormalities; PHPT-associated hypercalcaemia.</x:v>
      </x:c>
    </x:row>
    <x:row r="8">
      <x:c r="A8" s="19" t="str">
        <x:v>Unsupported state</x:v>
      </x:c>
      <x:c r="B8" s="22" t="str">
        <x:v>When no NICE rule applies, the app must not generate treatment instructions.</x:v>
      </x:c>
    </x:row>
    <x:row r="9">
      <x:c r="A9" s="19" t="str">
        <x:v>LLM role</x:v>
      </x:c>
      <x:c r="B9" s="22" t="str">
        <x:v>Note extraction, missing-field questions, RAG explanations and article summaries only.</x:v>
      </x:c>
    </x:row>
    <x:row r="10">
      <x:c r="A10" s="19" t="str">
        <x:v>Additional resources</x:v>
      </x:c>
      <x:c r="B10" s="22" t="str">
        <x:v>PubMed/Europe PMC articles are learning resources and cannot alter management.</x:v>
      </x:c>
    </x:row>
    <x:row r="11">
      <x:c r="A11" s="19" t="str">
        <x:v>Clinical validation</x:v>
      </x:c>
      <x:c r="B11" s="22" t="str">
        <x:v>All rules are pending qualified clinical review.</x:v>
      </x:c>
    </x:row>
    <x:row r="12">
      <x:c r="A12" s="19" t="str">
        <x:v>Evidence checked</x:v>
      </x:c>
      <x:c r="B12" s="22" t="str">
        <x:v>2026-08-07</x:v>
      </x:c>
    </x:row>
    <x:row r="13">
      <x:c r="A13" s="19" t="str">
        <x:v>Files</x:v>
      </x:c>
      <x:c r="B13" s="22" t="str">
        <x:v>CSV cases, CSV rules, JSON catalogue, resource-search CSV, workbook and Markdown execution guide.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48" hidden="0" customWidth="1"/>
    <x:col min="4" max="4" width="46" hidden="0" customWidth="1"/>
    <x:col min="5" max="5" width="48" hidden="0" customWidth="1"/>
  </x:cols>
  <x:sheetData>
    <x:row r="1" ht="32" customHeight="1">
      <x:c r="A1" s="3" t="str">
        <x:v>Dataset and Scope Summary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</x:row>
    <x:row r="3" ht="30" customHeight="1">
      <x:c r="A3" s="12" t="str">
        <x:v>KPI</x:v>
      </x:c>
      <x:c r="B3" s="12" t="str">
        <x:v>Value</x:v>
      </x:c>
      <x:c r="G3" s="12" t="str">
        <x:v>Condition</x:v>
      </x:c>
      <x:c r="H3" s="12" t="str">
        <x:v>Coverage score</x:v>
      </x:c>
    </x:row>
    <x:row r="4">
      <x:c r="A4" s="19" t="str">
        <x:v>Synthetic cases</x:v>
      </x:c>
      <x:c r="B4" t="n">
        <x:v>1000</x:v>
      </x:c>
      <x:c r="G4" t="str">
        <x:v>Hyponatraemia</x:v>
      </x:c>
      <x:c r="H4" t="n">
        <x:v>2</x:v>
      </x:c>
    </x:row>
    <x:row r="5">
      <x:c r="A5" s="19" t="str">
        <x:v>NICE/safety rules</x:v>
      </x:c>
      <x:c r="B5" t="n">
        <x:v>15</x:v>
      </x:c>
      <x:c r="G5" t="str">
        <x:v>Hypernatraemia</x:v>
      </x:c>
      <x:c r="H5" t="n">
        <x:v>2</x:v>
      </x:c>
    </x:row>
    <x:row r="6">
      <x:c r="A6" s="19" t="str">
        <x:v>NICE sources</x:v>
      </x:c>
      <x:c r="B6" t="n">
        <x:v>8</x:v>
      </x:c>
      <x:c r="G6" t="str">
        <x:v>Hypokalaemia</x:v>
      </x:c>
      <x:c r="H6" t="n">
        <x:v>2</x:v>
      </x:c>
    </x:row>
    <x:row r="7">
      <x:c r="A7" s="19" t="str">
        <x:v>Boundary tests</x:v>
      </x:c>
      <x:c r="B7" t="n">
        <x:v>19</x:v>
      </x:c>
      <x:c r="G7" t="str">
        <x:v>Hyperkalaemia</x:v>
      </x:c>
      <x:c r="H7" t="n">
        <x:v>4</x:v>
      </x:c>
    </x:row>
    <x:row r="8">
      <x:c r="A8" s="25" t="str">
        <x:v>Unsupported rows in 200-row sample</x:v>
      </x:c>
      <x:c r="B8" t="n">
        <x:f>COUNTIF(Sample_Cases!$AC$2:$AC$201,"No definitive NICE-only management output")</x:f>
        <x:v>101</x:v>
      </x:c>
      <x:c r="G8" t="str">
        <x:v>Hypocalcaemia</x:v>
      </x:c>
      <x:c r="H8" t="n">
        <x:v>1</x:v>
      </x:c>
    </x:row>
    <x:row r="9">
      <x:c r="G9" t="str">
        <x:v>Hypercalcaemia</x:v>
      </x:c>
      <x:c r="H9" t="n">
        <x:v>3</x:v>
      </x:c>
    </x:row>
    <x:row r="10">
      <x:c r="G10" t="str">
        <x:v>Hypomagnesaemia</x:v>
      </x:c>
      <x:c r="H10" t="n">
        <x:v>1</x:v>
      </x:c>
    </x:row>
    <x:row r="11" ht="30" customHeight="1">
      <x:c r="A11" s="12" t="str">
        <x:v>Condition</x:v>
      </x:c>
      <x:c r="B11" s="12" t="str">
        <x:v>Coverage</x:v>
      </x:c>
      <x:c r="C11" s="12" t="str">
        <x:v>NICE-supported context</x:v>
      </x:c>
      <x:c r="D11" s="12" t="str">
        <x:v>Important limitation</x:v>
      </x:c>
      <x:c r="E11" s="12" t="str">
        <x:v>Application behaviour</x:v>
      </x:c>
      <x:c r="G11" t="str">
        <x:v>Hypermagnesaemia</x:v>
      </x:c>
      <x:c r="H11" t="n">
        <x:v>1</x:v>
      </x:c>
    </x:row>
    <x:row r="12">
      <x:c r="A12" s="22" t="str">
        <x:v>Hyponatraemia</x:v>
      </x:c>
      <x:c r="B12" s="22" t="str">
        <x:v>Limited / context-specific</x:v>
      </x:c>
      <x:c r="C12" s="22" t="str">
        <x:v>IV-fluid-related incidents (CG174), primary adrenal insufficiency (NG243), peripartum escalation (NG235).</x:v>
      </x:c>
      <x:c r="D12" s="22" t="str">
        <x:v>No complete NICE pathway for general adult hyponatraemia.</x:v>
      </x:c>
      <x:c r="E12" s="22" t="str">
        <x:v>Show NICE-supported assessment/escalation only; otherwise require specialist/local protocol.</x:v>
      </x:c>
    </x:row>
    <x:row r="13">
      <x:c r="A13" s="22" t="str">
        <x:v>Hypernatraemia</x:v>
      </x:c>
      <x:c r="B13" s="22" t="str">
        <x:v>Limited / context-specific</x:v>
      </x:c>
      <x:c r="C13" s="22" t="str">
        <x:v>IV-fluid-related incident recognition, monitoring and expert escalation (CG174).</x:v>
      </x:c>
      <x:c r="D13" s="22" t="str">
        <x:v>No complete NICE pathway for general adult hypernatraemia.</x:v>
      </x:c>
      <x:c r="E13" s="22" t="str">
        <x:v>Do not generate definitive correction instructions.</x:v>
      </x:c>
    </x:row>
    <x:row r="14">
      <x:c r="A14" s="22" t="str">
        <x:v>Hypokalaemia</x:v>
      </x:c>
      <x:c r="B14" s="22" t="str">
        <x:v>Limited / context-specific</x:v>
      </x:c>
      <x:c r="C14" s="22" t="str">
        <x:v>IV-fluid-related incident recognition and reassessment (CG174).</x:v>
      </x:c>
      <x:c r="D14" s="22" t="str">
        <x:v>No complete NICE pathway for general adult hypokalaemia.</x:v>
      </x:c>
      <x:c r="E14" s="22" t="str">
        <x:v>Do not generate replacement doses.</x:v>
      </x:c>
    </x:row>
    <x:row r="15">
      <x:c r="A15" s="22" t="str">
        <x:v>Hyperkalaemia</x:v>
      </x:c>
      <x:c r="B15" s="22" t="str">
        <x:v>Best NICE coverage</x:v>
      </x:c>
      <x:c r="C15" s="22" t="str">
        <x:v>CKD/RAAS monitoring (NG203), medicine eligibility (TA1148, TA623), AKI specialist escalation (NG148), IV-fluid incident recognition (CG174).</x:v>
      </x:c>
      <x:c r="D15" s="22" t="str">
        <x:v>Technology appraisals do not replace the complete emergency standard-care pathway.</x:v>
      </x:c>
      <x:c r="E15" s="22" t="str">
        <x:v>Recommended MVP condition.</x:v>
      </x:c>
    </x:row>
    <x:row r="16">
      <x:c r="A16" s="22" t="str">
        <x:v>Hypocalcaemia</x:v>
      </x:c>
      <x:c r="B16" s="22" t="str">
        <x:v>No generic NICE management pathway identified</x:v>
      </x:c>
      <x:c r="C16" s="22" t="str">
        <x:v>No generic adult electrolyte-management recommendation in the approved source set.</x:v>
      </x:c>
      <x:c r="D16" s="22" t="str">
        <x:v>NICE-only requirement prevents a definitive management output.</x:v>
      </x:c>
      <x:c r="E16" s="22" t="str">
        <x:v>Show unsupported state and request an approved local protocol.</x:v>
      </x:c>
    </x:row>
    <x:row r="17">
      <x:c r="A17" s="22" t="str">
        <x:v>Hypercalcaemia</x:v>
      </x:c>
      <x:c r="B17" s="22" t="str">
        <x:v>Context-specific</x:v>
      </x:c>
      <x:c r="C17" s="22" t="str">
        <x:v>Primary hyperparathyroidism assessment and surgical referral (NG132).</x:v>
      </x:c>
      <x:c r="D17" s="22" t="str">
        <x:v>No complete NICE acute hypercalcaemia pathway for all causes.</x:v>
      </x:c>
      <x:c r="E17" s="22" t="str">
        <x:v>Only generate PHPT-context recommendations.</x:v>
      </x:c>
    </x:row>
    <x:row r="18">
      <x:c r="A18" s="22" t="str">
        <x:v>Hypomagnesaemia</x:v>
      </x:c>
      <x:c r="B18" s="22" t="str">
        <x:v>No generic NICE management pathway identified</x:v>
      </x:c>
      <x:c r="C18" s="22" t="str">
        <x:v>No generic adult electrolyte-management recommendation in the approved source set.</x:v>
      </x:c>
      <x:c r="D18" s="22" t="str">
        <x:v>NICE-only requirement prevents a definitive management output.</x:v>
      </x:c>
      <x:c r="E18" s="22" t="str">
        <x:v>Show unsupported state and request an approved local protocol.</x:v>
      </x:c>
    </x:row>
    <x:row r="19">
      <x:c r="A19" s="22" t="str">
        <x:v>Hypermagnesaemia</x:v>
      </x:c>
      <x:c r="B19" s="22" t="str">
        <x:v>No generic NICE management pathway identified</x:v>
      </x:c>
      <x:c r="C19" s="22" t="str">
        <x:v>No generic adult electrolyte-management recommendation in the approved source set.</x:v>
      </x:c>
      <x:c r="D19" s="22" t="str">
        <x:v>NICE-only requirement prevents a definitive management output.</x:v>
      </x:c>
      <x:c r="E19" s="22" t="str">
        <x:v>Show unsupported state and request an approved local protocol.</x:v>
      </x:c>
    </x:row>
  </x:sheetData>
  <x:conditionalFormatting sqref="B12:B19">
    <x:cfRule type="expression" dxfId="0" priority="1">
      <x:formula>ISNUMBER(SEARCH("Best",B12))</x:formula>
    </x:cfRule>
    <x:cfRule type="expression" dxfId="1" priority="2">
      <x:formula>ISNUMBER(SEARCH("No generic",B12))</x:formula>
    </x:cfRule>
    <x:cfRule type="expression" dxfId="2" priority="3">
      <x:formula>ISNUMBER(SEARCH("Limited",B12))</x:formula>
    </x:cfRule>
  </x:conditionalFormatting>
  <x:pageMargins left="0.7" right="0.7" top="0.75" bottom="0.75" header="0.3" footer="0.3"/>
  <x:drawing xmlns:r="http://schemas.openxmlformats.org/officeDocument/2006/relationships" r:id="Rce8348ae157f434b"/>
</x:worksheet>
</file>

<file path=xl/worksheets/sheet3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30" hidden="0" customWidth="1"/>
    <x:col min="3" max="3" width="50" hidden="0" customWidth="1"/>
    <x:col min="4" max="4" width="48" hidden="0" customWidth="1"/>
    <x:col min="5" max="5" width="50" hidden="0" customWidth="1"/>
  </x:cols>
  <x:sheetData>
    <x:row r="1" ht="30" customHeight="1">
      <x:c r="A1" s="12" t="str">
        <x:v>Condition</x:v>
      </x:c>
      <x:c r="B1" s="12" t="str">
        <x:v>Coverage level</x:v>
      </x:c>
      <x:c r="C1" s="12" t="str">
        <x:v>NICE-supported context</x:v>
      </x:c>
      <x:c r="D1" s="12" t="str">
        <x:v>Limitation</x:v>
      </x:c>
      <x:c r="E1" s="12" t="str">
        <x:v>Required application behaviour</x:v>
      </x:c>
    </x:row>
    <x:row r="2">
      <x:c r="A2" t="str">
        <x:v>Hyponatraemia</x:v>
      </x:c>
      <x:c r="B2" s="22" t="str">
        <x:v>Limited / context-specific</x:v>
      </x:c>
      <x:c r="C2" s="22" t="str">
        <x:v>IV-fluid-related incidents (CG174), primary adrenal insufficiency (NG243), peripartum escalation (NG235).</x:v>
      </x:c>
      <x:c r="D2" s="22" t="str">
        <x:v>No complete NICE pathway for general adult hyponatraemia.</x:v>
      </x:c>
      <x:c r="E2" s="22" t="str">
        <x:v>Show NICE-supported assessment/escalation only; otherwise require specialist/local protocol.</x:v>
      </x:c>
    </x:row>
    <x:row r="3">
      <x:c r="A3" t="str">
        <x:v>Hypernatraemia</x:v>
      </x:c>
      <x:c r="B3" s="22" t="str">
        <x:v>Limited / context-specific</x:v>
      </x:c>
      <x:c r="C3" s="22" t="str">
        <x:v>IV-fluid-related incident recognition, monitoring and expert escalation (CG174).</x:v>
      </x:c>
      <x:c r="D3" s="22" t="str">
        <x:v>No complete NICE pathway for general adult hypernatraemia.</x:v>
      </x:c>
      <x:c r="E3" s="22" t="str">
        <x:v>Do not generate definitive correction instructions.</x:v>
      </x:c>
    </x:row>
    <x:row r="4">
      <x:c r="A4" t="str">
        <x:v>Hypokalaemia</x:v>
      </x:c>
      <x:c r="B4" s="22" t="str">
        <x:v>Limited / context-specific</x:v>
      </x:c>
      <x:c r="C4" s="22" t="str">
        <x:v>IV-fluid-related incident recognition and reassessment (CG174).</x:v>
      </x:c>
      <x:c r="D4" s="22" t="str">
        <x:v>No complete NICE pathway for general adult hypokalaemia.</x:v>
      </x:c>
      <x:c r="E4" s="22" t="str">
        <x:v>Do not generate replacement doses.</x:v>
      </x:c>
    </x:row>
    <x:row r="5">
      <x:c r="A5" t="str">
        <x:v>Hyperkalaemia</x:v>
      </x:c>
      <x:c r="B5" s="22" t="str">
        <x:v>Best NICE coverage</x:v>
      </x:c>
      <x:c r="C5" s="22" t="str">
        <x:v>CKD/RAAS monitoring (NG203), medicine eligibility (TA1148, TA623), AKI specialist escalation (NG148), IV-fluid incident recognition (CG174).</x:v>
      </x:c>
      <x:c r="D5" s="22" t="str">
        <x:v>Technology appraisals do not replace the complete emergency standard-care pathway.</x:v>
      </x:c>
      <x:c r="E5" s="22" t="str">
        <x:v>Recommended MVP condition.</x:v>
      </x:c>
    </x:row>
    <x:row r="6">
      <x:c r="A6" t="str">
        <x:v>Hypocalcaemia</x:v>
      </x:c>
      <x:c r="B6" s="22" t="str">
        <x:v>No generic NICE management pathway identified</x:v>
      </x:c>
      <x:c r="C6" s="22" t="str">
        <x:v>No generic adult electrolyte-management recommendation in the approved source set.</x:v>
      </x:c>
      <x:c r="D6" s="22" t="str">
        <x:v>NICE-only requirement prevents a definitive management output.</x:v>
      </x:c>
      <x:c r="E6" s="22" t="str">
        <x:v>Show unsupported state and request an approved local protocol.</x:v>
      </x:c>
    </x:row>
    <x:row r="7">
      <x:c r="A7" t="str">
        <x:v>Hypercalcaemia</x:v>
      </x:c>
      <x:c r="B7" s="22" t="str">
        <x:v>Context-specific</x:v>
      </x:c>
      <x:c r="C7" s="22" t="str">
        <x:v>Primary hyperparathyroidism assessment and surgical referral (NG132).</x:v>
      </x:c>
      <x:c r="D7" s="22" t="str">
        <x:v>No complete NICE acute hypercalcaemia pathway for all causes.</x:v>
      </x:c>
      <x:c r="E7" s="22" t="str">
        <x:v>Only generate PHPT-context recommendations.</x:v>
      </x:c>
    </x:row>
    <x:row r="8">
      <x:c r="A8" t="str">
        <x:v>Hypomagnesaemia</x:v>
      </x:c>
      <x:c r="B8" s="22" t="str">
        <x:v>No generic NICE management pathway identified</x:v>
      </x:c>
      <x:c r="C8" s="22" t="str">
        <x:v>No generic adult electrolyte-management recommendation in the approved source set.</x:v>
      </x:c>
      <x:c r="D8" s="22" t="str">
        <x:v>NICE-only requirement prevents a definitive management output.</x:v>
      </x:c>
      <x:c r="E8" s="22" t="str">
        <x:v>Show unsupported state and request an approved local protocol.</x:v>
      </x:c>
    </x:row>
    <x:row r="9">
      <x:c r="A9" t="str">
        <x:v>Hypermagnesaemia</x:v>
      </x:c>
      <x:c r="B9" s="22" t="str">
        <x:v>No generic NICE management pathway identified</x:v>
      </x:c>
      <x:c r="C9" s="22" t="str">
        <x:v>No generic adult electrolyte-management recommendation in the approved source set.</x:v>
      </x:c>
      <x:c r="D9" s="22" t="str">
        <x:v>NICE-only requirement prevents a definitive management output.</x:v>
      </x:c>
      <x:c r="E9" s="22" t="str">
        <x:v>Show unsupported state and request an approved local protocol.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25" hidden="0" customWidth="1"/>
    <x:col min="4" max="4" width="34" hidden="0" customWidth="1"/>
    <x:col min="5" max="5" width="46" hidden="0" customWidth="1"/>
    <x:col min="6" max="6" width="52" hidden="0" customWidth="1"/>
    <x:col min="7" max="7" width="22" hidden="0" customWidth="1"/>
    <x:col min="8" max="8" width="34" hidden="0" customWidth="1"/>
    <x:col min="9" max="9" width="62" hidden="0" customWidth="1"/>
    <x:col min="10" max="10" width="52" hidden="0" customWidth="1"/>
    <x:col min="11" max="11" width="24" hidden="0" customWidth="1"/>
    <x:col min="12" max="12" width="22" hidden="0" customWidth="1"/>
    <x:col min="13" max="13" width="20" hidden="0" customWidth="1"/>
    <x:col min="14" max="14" width="24" hidden="0" customWidth="1"/>
  </x:cols>
  <x:sheetData>
    <x:row r="1" ht="30" customHeight="1">
      <x:c r="A1" s="12" t="str">
        <x:v>rule_id</x:v>
      </x:c>
      <x:c r="B1" s="12" t="str">
        <x:v>electrolyte</x:v>
      </x:c>
      <x:c r="C1" s="12" t="str">
        <x:v>condition</x:v>
      </x:c>
      <x:c r="D1" s="12" t="str">
        <x:v>context</x:v>
      </x:c>
      <x:c r="E1" s="12" t="str">
        <x:v>trigger_summary</x:v>
      </x:c>
      <x:c r="F1" s="12" t="str">
        <x:v>required_inputs</x:v>
      </x:c>
      <x:c r="G1" s="12" t="str">
        <x:v>output_priority</x:v>
      </x:c>
      <x:c r="H1" s="12" t="str">
        <x:v>output_status</x:v>
      </x:c>
      <x:c r="I1" s="12" t="str">
        <x:v>management_output</x:v>
      </x:c>
      <x:c r="J1" s="12" t="str">
        <x:v>limitations</x:v>
      </x:c>
      <x:c r="K1" s="12" t="str">
        <x:v>nice_source_ids</x:v>
      </x:c>
      <x:c r="L1" s="12" t="str">
        <x:v>nice_sections</x:v>
      </x:c>
      <x:c r="M1" s="12" t="str">
        <x:v>active_for_automation</x:v>
      </x:c>
      <x:c r="N1" s="12" t="str">
        <x:v>clinician_review_status</x:v>
      </x:c>
    </x:row>
    <x:row r="2">
      <x:c r="A2" t="str">
        <x:v>NICE-GLOBAL-ASSESS-001</x:v>
      </x:c>
      <x:c r="B2" t="str">
        <x:v>All</x:v>
      </x:c>
      <x:c r="C2" t="str">
        <x:v>All abnormalities</x:v>
      </x:c>
      <x:c r="D2" s="22" t="str">
        <x:v>Adult hospital assessment</x:v>
      </x:c>
      <x:c r="E2" s="22" t="str">
        <x:v>Any electrolyte abnormality in an adult hospital patient.</x:v>
      </x:c>
      <x:c r="F2" s="22" t="str">
        <x:v>History; current medicines; fluid status; NEWS/vital signs; fluid balance; weight; urea, creatinine and electrolytes.</x:v>
      </x:c>
      <x:c r="G2" s="22" t="str">
        <x:v>Clinical review</x:v>
      </x:c>
      <x:c r="H2" s="22" t="str">
        <x:v>Specific NICE assessment guidance</x:v>
      </x:c>
      <x:c r="I2" s="22" t="str">
        <x:v>Assess fluid and electrolyte needs, create or update an IV-fluid management plan when relevant, and monitor trends rather than relying on one result.</x:v>
      </x:c>
      <x:c r="J2" s="22" t="str">
        <x:v>Does not provide a condition-specific treatment pathway.</x:v>
      </x:c>
      <x:c r="K2" s="22" t="str">
        <x:v>NICE-CG174</x:v>
      </x:c>
      <x:c r="L2" s="22" t="str">
        <x:v>1.1.1, 1.1.6, 1.2.2, 1.2.4</x:v>
      </x:c>
      <x:c r="M2" s="22" t="str">
        <x:v>Yes</x:v>
      </x:c>
      <x:c r="N2" s="22" t="str">
        <x:v>Pending</x:v>
      </x:c>
    </x:row>
    <x:row r="3">
      <x:c r="A3" t="str">
        <x:v>NICE-NA-HYPO-IV-001</x:v>
      </x:c>
      <x:c r="B3" t="str">
        <x:v>Sodium</x:v>
      </x:c>
      <x:c r="C3" t="str">
        <x:v>Hyponatraemia</x:v>
      </x:c>
      <x:c r="D3" s="22" t="str">
        <x:v>During or within 24 hours of IV-fluid therapy</x:v>
      </x:c>
      <x:c r="E3" s="22" t="str">
        <x:v>Sodium &lt;130 mmol/L, no other likely cause, and temporally related to IV-fluid therapy.</x:v>
      </x:c>
      <x:c r="F3" s="22" t="str">
        <x:v>Sodium; baseline sodium; IV-fluid type/volume; timing; fluid status; renal function; alternative causes.</x:v>
      </x:c>
      <x:c r="G3" s="22" t="str">
        <x:v>Urgent review</x:v>
      </x:c>
      <x:c r="H3" s="22" t="str">
        <x:v>NICE detection, reassessment and escalation</x:v>
      </x:c>
      <x:c r="I3" s="22" t="str">
        <x:v>Treat as possible IV-fluid mismanagement: reassess the fluid prescription and monitoring plan, and seek expert help for a complex imbalance.</x:v>
      </x:c>
      <x:c r="J3" s="22" t="str">
        <x:v>No definitive sodium-correction regimen is provided by CG174.</x:v>
      </x:c>
      <x:c r="K3" s="22" t="str">
        <x:v>NICE-CG174</x:v>
      </x:c>
      <x:c r="L3" s="22" t="str">
        <x:v>1.2.4, 1.5.1, 1.5.2, Table 1</x:v>
      </x:c>
      <x:c r="M3" s="22" t="str">
        <x:v>Yes</x:v>
      </x:c>
      <x:c r="N3" s="22" t="str">
        <x:v>Pending</x:v>
      </x:c>
    </x:row>
    <x:row r="4">
      <x:c r="A4" t="str">
        <x:v>NICE-NA-HYPER-IV-001</x:v>
      </x:c>
      <x:c r="B4" t="str">
        <x:v>Sodium</x:v>
      </x:c>
      <x:c r="C4" t="str">
        <x:v>Hypernatraemia</x:v>
      </x:c>
      <x:c r="D4" s="22" t="str">
        <x:v>During or within 24 hours of IV-fluid therapy</x:v>
      </x:c>
      <x:c r="E4" s="22" t="str">
        <x:v>Sodium &gt;=155 mmol/L, baseline normal/low, IV regimen included 0.9% sodium chloride, and no other likely cause.</x:v>
      </x:c>
      <x:c r="F4" s="22" t="str">
        <x:v>Sodium; baseline sodium; IV-fluid composition; timing; fluid status; renal function; alternative causes.</x:v>
      </x:c>
      <x:c r="G4" s="22" t="str">
        <x:v>Urgent review</x:v>
      </x:c>
      <x:c r="H4" s="22" t="str">
        <x:v>NICE detection, reassessment and escalation</x:v>
      </x:c>
      <x:c r="I4" s="22" t="str">
        <x:v>Treat as possible IV-fluid mismanagement: reassess the fluid prescription and monitoring plan, and seek expert help for the imbalance.</x:v>
      </x:c>
      <x:c r="J4" s="22" t="str">
        <x:v>No definitive sodium-correction regimen is provided by CG174.</x:v>
      </x:c>
      <x:c r="K4" s="22" t="str">
        <x:v>NICE-CG174</x:v>
      </x:c>
      <x:c r="L4" s="22" t="str">
        <x:v>1.2.4, 1.5.1, 1.5.2, Table 1</x:v>
      </x:c>
      <x:c r="M4" s="22" t="str">
        <x:v>Yes</x:v>
      </x:c>
      <x:c r="N4" s="22" t="str">
        <x:v>Pending</x:v>
      </x:c>
    </x:row>
    <x:row r="5">
      <x:c r="A5" t="str">
        <x:v>NICE-K-HYPO-IV-001</x:v>
      </x:c>
      <x:c r="B5" t="str">
        <x:v>Potassium</x:v>
      </x:c>
      <x:c r="C5" t="str">
        <x:v>Hypokalaemia</x:v>
      </x:c>
      <x:c r="D5" s="22" t="str">
        <x:v>During or within 24 hours of IV-fluid therapy</x:v>
      </x:c>
      <x:c r="E5" s="22" t="str">
        <x:v>Potassium &lt;3.0 mmol/L, likely related to IV fluids without adequate potassium provision, and no other obvious cause.</x:v>
      </x:c>
      <x:c r="F5" s="22" t="str">
        <x:v>Potassium; baseline potassium; IV-fluid prescription; timing; renal function; medicines; other potassium losses.</x:v>
      </x:c>
      <x:c r="G5" s="22" t="str">
        <x:v>Urgent review</x:v>
      </x:c>
      <x:c r="H5" s="22" t="str">
        <x:v>NICE detection and IV-plan reassessment</x:v>
      </x:c>
      <x:c r="I5" s="22" t="str">
        <x:v>Treat as possible IV-fluid mismanagement: reassess the IV-fluid and electrolyte prescription and increase monitoring as clinically required.</x:v>
      </x:c>
      <x:c r="J5" s="22" t="str">
        <x:v>No replacement dose is generated.</x:v>
      </x:c>
      <x:c r="K5" s="22" t="str">
        <x:v>NICE-CG174</x:v>
      </x:c>
      <x:c r="L5" s="22" t="str">
        <x:v>1.2.4, 1.4.1, 1.4.4, 1.5.1, Table 1</x:v>
      </x:c>
      <x:c r="M5" s="22" t="str">
        <x:v>Yes</x:v>
      </x:c>
      <x:c r="N5" s="22" t="str">
        <x:v>Pending</x:v>
      </x:c>
    </x:row>
    <x:row r="6">
      <x:c r="A6" t="str">
        <x:v>NICE-K-HYPER-IV-001</x:v>
      </x:c>
      <x:c r="B6" t="str">
        <x:v>Potassium</x:v>
      </x:c>
      <x:c r="C6" t="str">
        <x:v>Hyperkalaemia</x:v>
      </x:c>
      <x:c r="D6" s="22" t="str">
        <x:v>During or within 24 hours of IV-fluid therapy</x:v>
      </x:c>
      <x:c r="E6" s="22" t="str">
        <x:v>Potassium &gt;5.5 mmol/L with no other obvious cause and temporal relation to IV-fluid therapy.</x:v>
      </x:c>
      <x:c r="F6" s="22" t="str">
        <x:v>Potassium; baseline potassium; IV-fluid prescription; timing; renal function; medicines; alternative causes.</x:v>
      </x:c>
      <x:c r="G6" s="22" t="str">
        <x:v>Urgent review</x:v>
      </x:c>
      <x:c r="H6" s="22" t="str">
        <x:v>NICE detection and IV-plan reassessment</x:v>
      </x:c>
      <x:c r="I6" s="22" t="str">
        <x:v>Treat as possible IV-fluid mismanagement: reassess the IV-fluid prescription, review contributing factors and monitor the patient.</x:v>
      </x:c>
      <x:c r="J6" s="22" t="str">
        <x:v>Not a complete acute hyperkalaemia treatment pathway.</x:v>
      </x:c>
      <x:c r="K6" s="22" t="str">
        <x:v>NICE-CG174</x:v>
      </x:c>
      <x:c r="L6" s="22" t="str">
        <x:v>1.2.4, 1.5.1, Table 1</x:v>
      </x:c>
      <x:c r="M6" s="22" t="str">
        <x:v>Yes</x:v>
      </x:c>
      <x:c r="N6" s="22" t="str">
        <x:v>Pending</x:v>
      </x:c>
    </x:row>
    <x:row r="7">
      <x:c r="A7" t="str">
        <x:v>NICE-K-CKD-MONITOR-001</x:v>
      </x:c>
      <x:c r="B7" t="str">
        <x:v>Potassium</x:v>
      </x:c>
      <x:c r="C7" t="str">
        <x:v>Hyperkalaemia risk</x:v>
      </x:c>
      <x:c r="D7" s="22" t="str">
        <x:v>Adult with CKD starting or increasing a renin–angiotensin system antagonist</x:v>
      </x:c>
      <x:c r="E7" s="22" t="str">
        <x:v>CKD adult is starting or increasing a renin–angiotensin system antagonist.</x:v>
      </x:c>
      <x:c r="F7" s="22" t="str">
        <x:v>CKD status; eGFR; serum potassium; medicine and dose-change date.</x:v>
      </x:c>
      <x:c r="G7" s="22" t="str">
        <x:v>Scheduled monitoring</x:v>
      </x:c>
      <x:c r="H7" s="22" t="str">
        <x:v>Specific NICE monitoring guidance</x:v>
      </x:c>
      <x:c r="I7" s="22" t="str">
        <x:v>Measure serum potassium and eGFR before treatment and repeat between 1 and 2 weeks after starting or each dose increase.</x:v>
      </x:c>
      <x:c r="J7" s="22" t="str">
        <x:v>Use clinical judgement for more frequent monitoring and special populations.</x:v>
      </x:c>
      <x:c r="K7" s="22" t="str">
        <x:v>NICE-NG203</x:v>
      </x:c>
      <x:c r="L7" s="22" t="str">
        <x:v>1.6.15 and 1.6.18</x:v>
      </x:c>
      <x:c r="M7" s="22" t="str">
        <x:v>Yes</x:v>
      </x:c>
      <x:c r="N7" s="22" t="str">
        <x:v>Pending</x:v>
      </x:c>
    </x:row>
    <x:row r="8">
      <x:c r="A8" t="str">
        <x:v>NICE-K-CKD-PRETREAT-001</x:v>
      </x:c>
      <x:c r="B8" t="str">
        <x:v>Potassium</x:v>
      </x:c>
      <x:c r="C8" t="str">
        <x:v>Hyperkalaemia risk</x:v>
      </x:c>
      <x:c r="D8" s="22" t="str">
        <x:v>Adult with CKD before a renin–angiotensin system antagonist</x:v>
      </x:c>
      <x:c r="E8" s="22" t="str">
        <x:v>Pretreatment serum potassium &gt;5.0 mmol/L.</x:v>
      </x:c>
      <x:c r="F8" s="22" t="str">
        <x:v>CKD status; pretreatment potassium; planned medicine.</x:v>
      </x:c>
      <x:c r="G8" s="22" t="str">
        <x:v>Medication review</x:v>
      </x:c>
      <x:c r="H8" s="22" t="str">
        <x:v>Specific NICE medication guidance</x:v>
      </x:c>
      <x:c r="I8" s="22" t="str">
        <x:v>Do not routinely offer the renin–angiotensin system antagonist at this pretreatment potassium level.</x:v>
      </x:c>
      <x:c r="J8" s="22" t="str">
        <x:v>Final prescribing decision remains with the responsible clinician.</x:v>
      </x:c>
      <x:c r="K8" s="22" t="str">
        <x:v>NICE-NG203</x:v>
      </x:c>
      <x:c r="L8" s="22" t="str">
        <x:v>1.6.16</x:v>
      </x:c>
      <x:c r="M8" s="22" t="str">
        <x:v>Yes</x:v>
      </x:c>
      <x:c r="N8" s="22" t="str">
        <x:v>Pending</x:v>
      </x:c>
    </x:row>
    <x:row r="9">
      <x:c r="A9" t="str">
        <x:v>NICE-K-CKD-STOP-001</x:v>
      </x:c>
      <x:c r="B9" t="str">
        <x:v>Potassium</x:v>
      </x:c>
      <x:c r="C9" t="str">
        <x:v>Hyperkalaemia</x:v>
      </x:c>
      <x:c r="D9" s="22" t="str">
        <x:v>Adult with CKD taking a renin–angiotensin system antagonist</x:v>
      </x:c>
      <x:c r="E9" s="22" t="str">
        <x:v>Potassium &gt;=6.0 mmol/L after other medicines known to promote hyperkalaemia have been discontinued.</x:v>
      </x:c>
      <x:c r="F9" s="22" t="str">
        <x:v>CKD status; potassium; current RAAS antagonist; other hyperkalaemia-promoting medicines and their status.</x:v>
      </x:c>
      <x:c r="G9" s="22" t="str">
        <x:v>Urgent medication review</x:v>
      </x:c>
      <x:c r="H9" s="22" t="str">
        <x:v>Specific NICE medication guidance</x:v>
      </x:c>
      <x:c r="I9" s="22" t="str">
        <x:v>Stop the renin–angiotensin system antagonist when the stated NICE conditions are met.</x:v>
      </x:c>
      <x:c r="J9" s="22" t="str">
        <x:v>Must verify contributing medicines and the complete clinical context.</x:v>
      </x:c>
      <x:c r="K9" s="22" t="str">
        <x:v>NICE-NG203</x:v>
      </x:c>
      <x:c r="L9" s="22" t="str">
        <x:v>1.6.17 to 1.6.19</x:v>
      </x:c>
      <x:c r="M9" s="22" t="str">
        <x:v>Yes</x:v>
      </x:c>
      <x:c r="N9" s="22" t="str">
        <x:v>Pending</x:v>
      </x:c>
    </x:row>
    <x:row r="10">
      <x:c r="A10" t="str">
        <x:v>NICE-K-SZC-ELIG-001</x:v>
      </x:c>
      <x:c r="B10" t="str">
        <x:v>Potassium</x:v>
      </x:c>
      <x:c r="C10" t="str">
        <x:v>Persistent hyperkalaemia</x:v>
      </x:c>
      <x:c r="D10" s="22" t="str">
        <x:v>Adult with CKD stage 3b–5 or heart failure, not on dialysis</x:v>
      </x:c>
      <x:c r="E10" s="22" t="str">
        <x:v>Confirmed potassium &gt;=5.5 mmol/L; RAAS inhibitor is not optimised because of hyperkalaemia; patient is not on dialysis.</x:v>
      </x:c>
      <x:c r="F10" s="22" t="str">
        <x:v>Confirmed potassium; CKD stage or heart failure; RAAS-inhibitor optimisation status; dialysis status.</x:v>
      </x:c>
      <x:c r="G10" s="22" t="str">
        <x:v>Specialist treatment consideration</x:v>
      </x:c>
      <x:c r="H10" s="22" t="str">
        <x:v>NICE medicine eligibility flag</x:v>
      </x:c>
      <x:c r="I10" s="22" t="str">
        <x:v>Flag that sodium zirconium cyclosilicate is a NICE option if all stated eligibility conditions are confirmed.</x:v>
      </x:c>
      <x:c r="J10" s="22" t="str">
        <x:v>Does not select a dose or replace standard emergency care.</x:v>
      </x:c>
      <x:c r="K10" s="22" t="str">
        <x:v>NICE-TA1148</x:v>
      </x:c>
      <x:c r="L10" s="22" t="str">
        <x:v>1.1</x:v>
      </x:c>
      <x:c r="M10" s="22" t="str">
        <x:v>Yes</x:v>
      </x:c>
      <x:c r="N10" s="22" t="str">
        <x:v>Pending</x:v>
      </x:c>
    </x:row>
    <x:row r="11">
      <x:c r="A11" t="str">
        <x:v>NICE-K-PATIROMER-ELIG-001</x:v>
      </x:c>
      <x:c r="B11" t="str">
        <x:v>Potassium</x:v>
      </x:c>
      <x:c r="C11" t="str">
        <x:v>Persistent hyperkalaemia</x:v>
      </x:c>
      <x:c r="D11" s="22" t="str">
        <x:v>Adult with CKD stage 3b–5 or heart failure, not on dialysis</x:v>
      </x:c>
      <x:c r="E11" s="22" t="str">
        <x:v>Confirmed potassium &gt;=6.0 mmol/L; RAAS inhibitor is absent or reduced because of hyperkalaemia; patient is not on dialysis.</x:v>
      </x:c>
      <x:c r="F11" s="22" t="str">
        <x:v>Confirmed potassium; CKD stage or heart failure; RAAS-inhibitor status; dialysis status.</x:v>
      </x:c>
      <x:c r="G11" s="22" t="str">
        <x:v>Specialist treatment consideration</x:v>
      </x:c>
      <x:c r="H11" s="22" t="str">
        <x:v>NICE medicine eligibility flag</x:v>
      </x:c>
      <x:c r="I11" s="22" t="str">
        <x:v>Flag that patiromer is a NICE option if all stated eligibility conditions are confirmed.</x:v>
      </x:c>
      <x:c r="J11" s="22" t="str">
        <x:v>Does not select a dose or replace standard emergency care.</x:v>
      </x:c>
      <x:c r="K11" s="22" t="str">
        <x:v>NICE-TA623</x:v>
      </x:c>
      <x:c r="L11" s="22" t="str">
        <x:v>1.1 and 1.2</x:v>
      </x:c>
      <x:c r="M11" s="22" t="str">
        <x:v>Yes</x:v>
      </x:c>
      <x:c r="N11" s="22" t="str">
        <x:v>Pending</x:v>
      </x:c>
    </x:row>
    <x:row r="12">
      <x:c r="A12" t="str">
        <x:v>NICE-K-AKI-RRT-001</x:v>
      </x:c>
      <x:c r="B12" t="str">
        <x:v>Potassium</x:v>
      </x:c>
      <x:c r="C12" t="str">
        <x:v>Hyperkalaemia</x:v>
      </x:c>
      <x:c r="D12" s="22" t="str">
        <x:v>Acute kidney injury with hyperkalaemia not responding to medical management</x:v>
      </x:c>
      <x:c r="E12" s="22" t="str">
        <x:v>AKI, hyperkalaemia and failure to respond to medical management.</x:v>
      </x:c>
      <x:c r="F12" s="22" t="str">
        <x:v>AKI status; potassium trend; treatments already given; clinical condition; ECG/complications; fluid status.</x:v>
      </x:c>
      <x:c r="G12" s="22" t="str">
        <x:v>Emergency specialist referral</x:v>
      </x:c>
      <x:c r="H12" s="22" t="str">
        <x:v>Specific NICE escalation guidance</x:v>
      </x:c>
      <x:c r="I12" s="22" t="str">
        <x:v>Refer immediately to nephrology and/or critical care for consideration of renal replacement therapy.</x:v>
      </x:c>
      <x:c r="J12" s="22" t="str">
        <x:v>The decision must be based on the whole clinical condition, not an isolated potassium value.</x:v>
      </x:c>
      <x:c r="K12" s="22" t="str">
        <x:v>NICE-NG148</x:v>
      </x:c>
      <x:c r="L12" s="22" t="str">
        <x:v>1.5.8 to 1.5.11</x:v>
      </x:c>
      <x:c r="M12" s="22" t="str">
        <x:v>Yes</x:v>
      </x:c>
      <x:c r="N12" s="22" t="str">
        <x:v>Pending</x:v>
      </x:c>
    </x:row>
    <x:row r="13">
      <x:c r="A13" t="str">
        <x:v>NICE-CA-PHPT-SCREEN-001</x:v>
      </x:c>
      <x:c r="B13" t="str">
        <x:v>Adjusted calcium</x:v>
      </x:c>
      <x:c r="C13" t="str">
        <x:v>Hypercalcaemia</x:v>
      </x:c>
      <x:c r="D13" s="22" t="str">
        <x:v>Possible primary hyperparathyroidism</x:v>
      </x:c>
      <x:c r="E13" s="22" t="str">
        <x:v>Symptoms or features suggest primary hyperparathyroidism; adjusted calcium is being assessed.</x:v>
      </x:c>
      <x:c r="F13" s="22" t="str">
        <x:v>Adjusted calcium; symptoms; fracture/osteoporosis history; renal stones; suspected/confirmed PHPT.</x:v>
      </x:c>
      <x:c r="G13" s="22" t="str">
        <x:v>Diagnostic assessment</x:v>
      </x:c>
      <x:c r="H13" s="22" t="str">
        <x:v>Specific NICE diagnostic guidance</x:v>
      </x:c>
      <x:c r="I13" s="22" t="str">
        <x:v>Use albumin-adjusted serum calcium in the NICE diagnostic pathway for primary hyperparathyroidism.</x:v>
      </x:c>
      <x:c r="J13" s="22" t="str">
        <x:v>Not an acute general hypercalcaemia pathway.</x:v>
      </x:c>
      <x:c r="K13" s="22" t="str">
        <x:v>NICE-NG132</x:v>
      </x:c>
      <x:c r="L13" s="22" t="str">
        <x:v>1.1.1 and Terms used</x:v>
      </x:c>
      <x:c r="M13" s="22" t="str">
        <x:v>Yes</x:v>
      </x:c>
      <x:c r="N13" s="22" t="str">
        <x:v>Pending</x:v>
      </x:c>
    </x:row>
    <x:row r="14">
      <x:c r="A14" t="str">
        <x:v>NICE-CA-PHPT-REFER-001</x:v>
      </x:c>
      <x:c r="B14" t="str">
        <x:v>Adjusted calcium</x:v>
      </x:c>
      <x:c r="C14" t="str">
        <x:v>Hypercalcaemia</x:v>
      </x:c>
      <x:c r="D14" s="22" t="str">
        <x:v>Confirmed primary hyperparathyroidism</x:v>
      </x:c>
      <x:c r="E14" s="22" t="str">
        <x:v>Symptoms of hypercalcaemia, end-organ disease, or adjusted calcium &gt;=2.85 mmol/L.</x:v>
      </x:c>
      <x:c r="F14" s="22" t="str">
        <x:v>Confirmed PHPT; adjusted calcium; symptoms; renal stones; fragility fracture or osteoporosis.</x:v>
      </x:c>
      <x:c r="G14" s="22" t="str">
        <x:v>Specialist surgical referral</x:v>
      </x:c>
      <x:c r="H14" s="22" t="str">
        <x:v>Specific NICE referral guidance</x:v>
      </x:c>
      <x:c r="I14" s="22" t="str">
        <x:v>Refer to a surgeon with expertise in parathyroid surgery when one or more stated NICE criteria are present.</x:v>
      </x:c>
      <x:c r="J14" s="22" t="str">
        <x:v>Applies only to confirmed primary hyperparathyroidism.</x:v>
      </x:c>
      <x:c r="K14" s="22" t="str">
        <x:v>NICE-NG132</x:v>
      </x:c>
      <x:c r="L14" s="22" t="str">
        <x:v>1.3.1 and 1.3.2</x:v>
      </x:c>
      <x:c r="M14" s="22" t="str">
        <x:v>Yes</x:v>
      </x:c>
      <x:c r="N14" s="22" t="str">
        <x:v>Pending</x:v>
      </x:c>
    </x:row>
    <x:row r="15">
      <x:c r="A15" t="str">
        <x:v>NICE-NA-ADRENAL-001</x:v>
      </x:c>
      <x:c r="B15" t="str">
        <x:v>Sodium</x:v>
      </x:c>
      <x:c r="C15" t="str">
        <x:v>Hyponatraemia</x:v>
      </x:c>
      <x:c r="D15" s="22" t="str">
        <x:v>Primary adrenal insufficiency</x:v>
      </x:c>
      <x:c r="E15" s="22" t="str">
        <x:v>Persistent hyponatraemia despite the maximum fludrocortisone dose.</x:v>
      </x:c>
      <x:c r="F15" s="22" t="str">
        <x:v>Confirmed primary adrenal insufficiency; sodium trend; fludrocortisone dose/status; specialist involvement.</x:v>
      </x:c>
      <x:c r="G15" s="22" t="str">
        <x:v>Specialist endocrinology review</x:v>
      </x:c>
      <x:c r="H15" s="22" t="str">
        <x:v>Specific context-based NICE guidance</x:v>
      </x:c>
      <x:c r="I15" s="22" t="str">
        <x:v>Consider sodium chloride supplementation according to specialist endocrinology advice.</x:v>
      </x:c>
      <x:c r="J15" s="22" t="str">
        <x:v>Applies only to primary adrenal insufficiency.</x:v>
      </x:c>
      <x:c r="K15" s="22" t="str">
        <x:v>NICE-NG243</x:v>
      </x:c>
      <x:c r="L15" s="22" t="str">
        <x:v>1.3.5</x:v>
      </x:c>
      <x:c r="M15" s="22" t="str">
        <x:v>Yes</x:v>
      </x:c>
      <x:c r="N15" s="22" t="str">
        <x:v>Pending</x:v>
      </x:c>
    </x:row>
    <x:row r="16">
      <x:c r="A16" t="str">
        <x:v>NICE-UNSUPPORTED-001</x:v>
      </x:c>
      <x:c r="B16" t="str">
        <x:v>Any</x:v>
      </x:c>
      <x:c r="C16" t="str">
        <x:v>Unsupported NICE-only scenario</x:v>
      </x:c>
      <x:c r="D16" s="22" t="str">
        <x:v>No applicable NICE recommendation in the approved catalogue</x:v>
      </x:c>
      <x:c r="E16" s="22" t="str">
        <x:v>The condition or clinical context does not match a NICE-supported rule.</x:v>
      </x:c>
      <x:c r="F16" s="22" t="str">
        <x:v>Condition; context; existing local protocol; specialist availability.</x:v>
      </x:c>
      <x:c r="G16" s="22" t="str">
        <x:v>Clinical review required</x:v>
      </x:c>
      <x:c r="H16" s="22" t="str">
        <x:v>No definitive NICE-only management output</x:v>
      </x:c>
      <x:c r="I16" s="22" t="str">
        <x:v>Do not generate treatment instructions. Display that an approved local protocol or specialist review is required.</x:v>
      </x:c>
      <x:c r="J16" s="22" t="str">
        <x:v>This is a safety rule, not a treatment recommendation.</x:v>
      </x:c>
      <x:c r="K16" s="22" t="str"/>
      <x:c r="L16" s="22" t="str"/>
      <x:c r="M16" s="22" t="str">
        <x:v>Yes</x:v>
      </x:c>
      <x:c r="N16" s="22" t="str">
        <x:v>Pending</x:v>
      </x:c>
    </x:row>
  </x:sheetData>
  <x:dataValidations count="1">
    <x:dataValidation type="list" sqref="N2:N16">
      <x:formula1>"Pending,Approved,Rejected,Needs changes"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60" hidden="0" customWidth="1"/>
    <x:col min="3" max="3" width="8" hidden="0" customWidth="1"/>
    <x:col min="4" max="4" width="10" hidden="0" customWidth="1"/>
    <x:col min="5" max="5" width="16" hidden="0" customWidth="1"/>
    <x:col min="6" max="6" width="18" hidden="0" customWidth="1"/>
    <x:col min="7" max="7" width="20" hidden="0" customWidth="1"/>
    <x:col min="8" max="8" width="14" hidden="0" customWidth="1"/>
    <x:col min="9" max="9" width="10" hidden="0" customWidth="1"/>
    <x:col min="10" max="10" width="32" hidden="0" customWidth="1"/>
    <x:col min="11" max="11" width="12" hidden="0" customWidth="1"/>
    <x:col min="12" max="12" width="18" hidden="0" customWidth="1"/>
    <x:col min="13" max="13" width="14" hidden="0" customWidth="1"/>
    <x:col min="14" max="14" width="12" hidden="0" customWidth="1"/>
    <x:col min="15" max="15" width="12" hidden="0" customWidth="1"/>
    <x:col min="16" max="16" width="10" hidden="0" customWidth="1"/>
    <x:col min="17" max="17" width="30" hidden="0" customWidth="1"/>
    <x:col min="18" max="18" width="20" hidden="0" customWidth="1"/>
    <x:col min="19" max="19" width="10" hidden="0" customWidth="1"/>
    <x:col min="20" max="20" width="22" hidden="0" customWidth="1"/>
    <x:col min="21" max="21" width="20" hidden="0" customWidth="1"/>
    <x:col min="22" max="22" width="28" hidden="0" customWidth="1"/>
    <x:col min="23" max="23" width="18" hidden="0" customWidth="1"/>
    <x:col min="24" max="24" width="16" hidden="0" customWidth="1"/>
    <x:col min="25" max="25" width="16" hidden="0" customWidth="1"/>
    <x:col min="26" max="26" width="28" hidden="0" customWidth="1"/>
    <x:col min="27" max="27" width="32" hidden="0" customWidth="1"/>
    <x:col min="28" max="28" width="24" hidden="0" customWidth="1"/>
    <x:col min="29" max="29" width="38" hidden="0" customWidth="1"/>
    <x:col min="30" max="30" width="60" hidden="0" customWidth="1"/>
    <x:col min="31" max="31" width="48" hidden="0" customWidth="1"/>
    <x:col min="32" max="32" width="24" hidden="0" customWidth="1"/>
    <x:col min="33" max="33" width="22" hidden="0" customWidth="1"/>
    <x:col min="34" max="34" width="56" hidden="0" customWidth="1"/>
    <x:col min="35" max="35" width="12" hidden="0" customWidth="1"/>
    <x:col min="36" max="36" width="12" hidden="0" customWidth="1"/>
    <x:col min="37" max="37" width="22" hidden="0" customWidth="1"/>
  </x:cols>
  <x:sheetData>
    <x:row r="1" ht="30" customHeight="1">
      <x:c r="A1" s="12" t="str">
        <x:v>case_id</x:v>
      </x:c>
      <x:c r="B1" s="12" t="str">
        <x:v>note_text</x:v>
      </x:c>
      <x:c r="C1" s="12" t="str">
        <x:v>age</x:v>
      </x:c>
      <x:c r="D1" s="12" t="str">
        <x:v>sex</x:v>
      </x:c>
      <x:c r="E1" s="12" t="str">
        <x:v>pregnancy_status</x:v>
      </x:c>
      <x:c r="F1" s="12" t="str">
        <x:v>electrolyte</x:v>
      </x:c>
      <x:c r="G1" s="12" t="str">
        <x:v>condition</x:v>
      </x:c>
      <x:c r="H1" s="12" t="str">
        <x:v>measured_value</x:v>
      </x:c>
      <x:c r="I1" s="12" t="str">
        <x:v>unit</x:v>
      </x:c>
      <x:c r="J1" s="12" t="str">
        <x:v>clinical_context</x:v>
      </x:c>
      <x:c r="K1" s="12" t="str">
        <x:v>on_iv_fluids</x:v>
      </x:c>
      <x:c r="L1" s="12" t="str">
        <x:v>iv_fluid_contains_0_9_saline</x:v>
      </x:c>
      <x:c r="M1" s="12" t="str">
        <x:v>baseline_value</x:v>
      </x:c>
      <x:c r="N1" s="12" t="str">
        <x:v>ckd_stage</x:v>
      </x:c>
      <x:c r="O1" s="12" t="str">
        <x:v>heart_failure</x:v>
      </x:c>
      <x:c r="P1" s="12" t="str">
        <x:v>aki</x:v>
      </x:c>
      <x:c r="Q1" s="12" t="str">
        <x:v>raas_antagonist_status</x:v>
      </x:c>
      <x:c r="R1" s="12" t="str">
        <x:v>other_hyperkalaemia_medicines_stopped</x:v>
      </x:c>
      <x:c r="S1" s="12" t="str">
        <x:v>dialysis</x:v>
      </x:c>
      <x:c r="T1" s="12" t="str">
        <x:v>confirmed_primary_hyperparathyroidism</x:v>
      </x:c>
      <x:c r="U1" s="12" t="str">
        <x:v>primary_adrenal_insufficiency</x:v>
      </x:c>
      <x:c r="V1" s="12" t="str">
        <x:v>symptoms</x:v>
      </x:c>
      <x:c r="W1" s="12" t="str">
        <x:v>end_organ_disease</x:v>
      </x:c>
      <x:c r="X1" s="12" t="str">
        <x:v>fluid_status</x:v>
      </x:c>
      <x:c r="Y1" s="12" t="str">
        <x:v>egfr_ml_min_1_73m2</x:v>
      </x:c>
      <x:c r="Z1" s="12" t="str">
        <x:v>rule_id</x:v>
      </x:c>
      <x:c r="AA1" s="12" t="str">
        <x:v>nice_coverage_level</x:v>
      </x:c>
      <x:c r="AB1" s="12" t="str">
        <x:v>output_priority</x:v>
      </x:c>
      <x:c r="AC1" s="12" t="str">
        <x:v>output_status</x:v>
      </x:c>
      <x:c r="AD1" s="12" t="str">
        <x:v>management_output</x:v>
      </x:c>
      <x:c r="AE1" s="12" t="str">
        <x:v>limitations</x:v>
      </x:c>
      <x:c r="AF1" s="12" t="str">
        <x:v>nice_source_ids</x:v>
      </x:c>
      <x:c r="AG1" s="12" t="str">
        <x:v>nice_sections</x:v>
      </x:c>
      <x:c r="AH1" s="12" t="str">
        <x:v>resource_search_query</x:v>
      </x:c>
      <x:c r="AI1" s="12" t="str">
        <x:v>data_split</x:v>
      </x:c>
      <x:c r="AJ1" s="12" t="str">
        <x:v>synthetic_flag</x:v>
      </x:c>
      <x:c r="AK1" s="12" t="str">
        <x:v>clinician_review_status</x:v>
      </x:c>
    </x:row>
    <x:row r="2">
      <x:c r="A2" t="str">
        <x:v>CASE-0625</x:v>
      </x:c>
      <x:c r="B2" s="22" t="str">
        <x:v>52-year-old female with hypomagnesaemia. Magnesium is 0.44 mmol/L; baseline is 0.39 mmol/L. Context: General adult presentation. Symptoms: palpitations. IV fluids: No; CKD stage: None; heart failure: No; AKI: No; dialysis: No; eGFR: 20.1 mL/min/1.73m².</x:v>
      </x:c>
      <x:c r="C2" t="n">
        <x:v>52</x:v>
      </x:c>
      <x:c r="D2" t="str">
        <x:v>Female</x:v>
      </x:c>
      <x:c r="E2" t="str">
        <x:v>Not applicable</x:v>
      </x:c>
      <x:c r="F2" t="str">
        <x:v>Magnesium</x:v>
      </x:c>
      <x:c r="G2" t="str">
        <x:v>Hypomagnesaemia</x:v>
      </x:c>
      <x:c r="H2" t="n">
        <x:v>0.44</x:v>
      </x:c>
      <x:c r="I2" t="str">
        <x:v>mmol/L</x:v>
      </x:c>
      <x:c r="J2" s="22" t="str">
        <x:v>General adult presentation</x:v>
      </x:c>
      <x:c r="K2" s="22" t="str">
        <x:v>No</x:v>
      </x:c>
      <x:c r="L2" s="22" t="str">
        <x:v>No</x:v>
      </x:c>
      <x:c r="M2" s="22" t="n">
        <x:v>0.39</x:v>
      </x:c>
      <x:c r="N2" s="22" t="str">
        <x:v>None</x:v>
      </x:c>
      <x:c r="O2" s="22" t="str">
        <x:v>No</x:v>
      </x:c>
      <x:c r="P2" s="22" t="str">
        <x:v>No</x:v>
      </x:c>
      <x:c r="Q2" s="22" t="str">
        <x:v>Not applicable</x:v>
      </x:c>
      <x:c r="R2" s="22" t="str">
        <x:v>Not applicable</x:v>
      </x:c>
      <x:c r="S2" s="22" t="str">
        <x:v>No</x:v>
      </x:c>
      <x:c r="T2" s="22" t="str">
        <x:v>No</x:v>
      </x:c>
      <x:c r="U2" s="22" t="str">
        <x:v>No</x:v>
      </x:c>
      <x:c r="V2" s="22" t="str">
        <x:v>palpitations</x:v>
      </x:c>
      <x:c r="W2" s="22" t="str">
        <x:v>No</x:v>
      </x:c>
      <x:c r="X2" s="22" t="str">
        <x:v>Hypovolaemic</x:v>
      </x:c>
      <x:c r="Y2" s="22" t="n">
        <x:v>20.1</x:v>
      </x:c>
      <x:c r="Z2" s="22" t="str">
        <x:v>NICE-UNSUPPORTED-001</x:v>
      </x:c>
      <x:c r="AA2" s="22" t="str">
        <x:v>No definitive NICE-only management</x:v>
      </x:c>
      <x:c r="AB2" s="22" t="str">
        <x:v>Clinical review required</x:v>
      </x:c>
      <x:c r="AC2" s="22" t="str">
        <x:v>No definitive NICE-only management output</x:v>
      </x:c>
      <x:c r="AD2" s="22" t="str">
        <x:v>Do not generate treatment instructions. Display that an approved local protocol or specialist review is required.</x:v>
      </x:c>
      <x:c r="AE2" s="22" t="str">
        <x:v>This is a safety rule, not a treatment recommendation.</x:v>
      </x:c>
      <x:c r="AF2" s="22" t="str"/>
      <x:c r="AG2" s="22" t="str"/>
      <x:c r="AH2" s="22" t="str">
        <x:v>Hypomagnesaemia adult General adult presentation guideline systematic review clinical review</x:v>
      </x:c>
      <x:c r="AI2" s="22" t="str">
        <x:v>train</x:v>
      </x:c>
      <x:c r="AJ2" s="22" t="str">
        <x:v>Yes</x:v>
      </x:c>
      <x:c r="AK2" s="22" t="str">
        <x:v>Pending</x:v>
      </x:c>
    </x:row>
    <x:row r="3">
      <x:c r="A3" t="str">
        <x:v>CASE-0661</x:v>
      </x:c>
      <x:c r="B3" s="22" t="str">
        <x:v>78-year-old female with hypomagnesaemia. Magnesium is 0.45 mmol/L; baseline is 0.57 mmol/L. Context: General adult presentation. Symptoms: cramps. IV fluids: No; CKD stage: None; heart failure: No; AKI: No; dialysis: No; eGFR: 53.9 mL/min/1.73m².</x:v>
      </x:c>
      <x:c r="C3" t="n">
        <x:v>78</x:v>
      </x:c>
      <x:c r="D3" t="str">
        <x:v>Female</x:v>
      </x:c>
      <x:c r="E3" t="str">
        <x:v>Not applicable</x:v>
      </x:c>
      <x:c r="F3" t="str">
        <x:v>Magnesium</x:v>
      </x:c>
      <x:c r="G3" t="str">
        <x:v>Hypomagnesaemia</x:v>
      </x:c>
      <x:c r="H3" t="n">
        <x:v>0.45</x:v>
      </x:c>
      <x:c r="I3" t="str">
        <x:v>mmol/L</x:v>
      </x:c>
      <x:c r="J3" s="22" t="str">
        <x:v>General adult presentation</x:v>
      </x:c>
      <x:c r="K3" s="22" t="str">
        <x:v>No</x:v>
      </x:c>
      <x:c r="L3" s="22" t="str">
        <x:v>No</x:v>
      </x:c>
      <x:c r="M3" s="22" t="n">
        <x:v>0.57</x:v>
      </x:c>
      <x:c r="N3" s="22" t="str">
        <x:v>None</x:v>
      </x:c>
      <x:c r="O3" s="22" t="str">
        <x:v>No</x:v>
      </x:c>
      <x:c r="P3" s="22" t="str">
        <x:v>No</x:v>
      </x:c>
      <x:c r="Q3" s="22" t="str">
        <x:v>Not applicable</x:v>
      </x:c>
      <x:c r="R3" s="22" t="str">
        <x:v>Not applicable</x:v>
      </x:c>
      <x:c r="S3" s="22" t="str">
        <x:v>No</x:v>
      </x:c>
      <x:c r="T3" s="22" t="str">
        <x:v>No</x:v>
      </x:c>
      <x:c r="U3" s="22" t="str">
        <x:v>No</x:v>
      </x:c>
      <x:c r="V3" s="22" t="str">
        <x:v>cramps</x:v>
      </x:c>
      <x:c r="W3" s="22" t="str">
        <x:v>No</x:v>
      </x:c>
      <x:c r="X3" s="22" t="str">
        <x:v>Euvolaemic</x:v>
      </x:c>
      <x:c r="Y3" s="22" t="n">
        <x:v>53.9</x:v>
      </x:c>
      <x:c r="Z3" s="22" t="str">
        <x:v>NICE-UNSUPPORTED-001</x:v>
      </x:c>
      <x:c r="AA3" s="22" t="str">
        <x:v>No definitive NICE-only management</x:v>
      </x:c>
      <x:c r="AB3" s="22" t="str">
        <x:v>Clinical review required</x:v>
      </x:c>
      <x:c r="AC3" s="22" t="str">
        <x:v>No definitive NICE-only management output</x:v>
      </x:c>
      <x:c r="AD3" s="22" t="str">
        <x:v>Do not generate treatment instructions. Display that an approved local protocol or specialist review is required.</x:v>
      </x:c>
      <x:c r="AE3" s="22" t="str">
        <x:v>This is a safety rule, not a treatment recommendation.</x:v>
      </x:c>
      <x:c r="AF3" s="22" t="str"/>
      <x:c r="AG3" s="22" t="str"/>
      <x:c r="AH3" s="22" t="str">
        <x:v>Hypomagnesaemia adult General adult presentation guideline systematic review clinical review</x:v>
      </x:c>
      <x:c r="AI3" s="22" t="str">
        <x:v>train</x:v>
      </x:c>
      <x:c r="AJ3" s="22" t="str">
        <x:v>Yes</x:v>
      </x:c>
      <x:c r="AK3" s="22" t="str">
        <x:v>Pending</x:v>
      </x:c>
    </x:row>
    <x:row r="4">
      <x:c r="A4" t="str">
        <x:v>CASE-0495</x:v>
      </x:c>
      <x:c r="B4" s="22" t="str">
        <x:v>76-year-old male with hypocalcaemia. Adjusted calcium is 2.1 mmol/L; baseline is 1.77 mmol/L. Context: General adult presentation. Symptoms: None reported. IV fluids: No; CKD stage: None; heart failure: No; AKI: No; dialysis: No; eGFR: 109.4 mL/min/1.73m².</x:v>
      </x:c>
      <x:c r="C4" t="n">
        <x:v>76</x:v>
      </x:c>
      <x:c r="D4" t="str">
        <x:v>Male</x:v>
      </x:c>
      <x:c r="E4" t="str">
        <x:v>Not applicable</x:v>
      </x:c>
      <x:c r="F4" t="str">
        <x:v>Adjusted calcium</x:v>
      </x:c>
      <x:c r="G4" t="str">
        <x:v>Hypocalcaemia</x:v>
      </x:c>
      <x:c r="H4" t="n">
        <x:v>2.1</x:v>
      </x:c>
      <x:c r="I4" t="str">
        <x:v>mmol/L</x:v>
      </x:c>
      <x:c r="J4" s="22" t="str">
        <x:v>General adult presentation</x:v>
      </x:c>
      <x:c r="K4" s="22" t="str">
        <x:v>No</x:v>
      </x:c>
      <x:c r="L4" s="22" t="str">
        <x:v>No</x:v>
      </x:c>
      <x:c r="M4" s="22" t="n">
        <x:v>1.77</x:v>
      </x:c>
      <x:c r="N4" s="22" t="str">
        <x:v>None</x:v>
      </x:c>
      <x:c r="O4" s="22" t="str">
        <x:v>No</x:v>
      </x:c>
      <x:c r="P4" s="22" t="str">
        <x:v>No</x:v>
      </x:c>
      <x:c r="Q4" s="22" t="str">
        <x:v>Not applicable</x:v>
      </x:c>
      <x:c r="R4" s="22" t="str">
        <x:v>Not applicable</x:v>
      </x:c>
      <x:c r="S4" s="22" t="str">
        <x:v>No</x:v>
      </x:c>
      <x:c r="T4" s="22" t="str">
        <x:v>No</x:v>
      </x:c>
      <x:c r="U4" s="22" t="str">
        <x:v>No</x:v>
      </x:c>
      <x:c r="V4" s="22" t="str">
        <x:v>None reported</x:v>
      </x:c>
      <x:c r="W4" s="22" t="str">
        <x:v>No</x:v>
      </x:c>
      <x:c r="X4" s="22" t="str">
        <x:v>Euvolaemic</x:v>
      </x:c>
      <x:c r="Y4" s="22" t="n">
        <x:v>109.4</x:v>
      </x:c>
      <x:c r="Z4" s="22" t="str">
        <x:v>NICE-UNSUPPORTED-001</x:v>
      </x:c>
      <x:c r="AA4" s="22" t="str">
        <x:v>No definitive NICE-only management</x:v>
      </x:c>
      <x:c r="AB4" s="22" t="str">
        <x:v>Clinical review required</x:v>
      </x:c>
      <x:c r="AC4" s="22" t="str">
        <x:v>No definitive NICE-only management output</x:v>
      </x:c>
      <x:c r="AD4" s="22" t="str">
        <x:v>Do not generate treatment instructions. Display that an approved local protocol or specialist review is required.</x:v>
      </x:c>
      <x:c r="AE4" s="22" t="str">
        <x:v>This is a safety rule, not a treatment recommendation.</x:v>
      </x:c>
      <x:c r="AF4" s="22" t="str"/>
      <x:c r="AG4" s="22" t="str"/>
      <x:c r="AH4" s="22" t="str">
        <x:v>Hypocalcaemia adult General adult presentation guideline systematic review clinical review</x:v>
      </x:c>
      <x:c r="AI4" s="22" t="str">
        <x:v>train</x:v>
      </x:c>
      <x:c r="AJ4" s="22" t="str">
        <x:v>Yes</x:v>
      </x:c>
      <x:c r="AK4" s="22" t="str">
        <x:v>Pending</x:v>
      </x:c>
    </x:row>
    <x:row r="5">
      <x:c r="A5" t="str">
        <x:v>CASE-0061</x:v>
      </x:c>
      <x:c r="B5" s="22" t="str">
        <x:v>75-year-old female with hyponatraemia. Sodium is 126.8 mmol/L; baseline is 138.2 mmol/L. Context: IV-fluid-related. Symptoms: nausea, seizure. IV fluids: Yes; CKD stage: None; heart failure: No; AKI: No; dialysis: No; eGFR: 104.9 mL/min/1.73m².</x:v>
      </x:c>
      <x:c r="C5" t="n">
        <x:v>75</x:v>
      </x:c>
      <x:c r="D5" t="str">
        <x:v>Female</x:v>
      </x:c>
      <x:c r="E5" t="str">
        <x:v>Not applicable</x:v>
      </x:c>
      <x:c r="F5" t="str">
        <x:v>Sodium</x:v>
      </x:c>
      <x:c r="G5" t="str">
        <x:v>Hyponatraemia</x:v>
      </x:c>
      <x:c r="H5" t="n">
        <x:v>126.8</x:v>
      </x:c>
      <x:c r="I5" t="str">
        <x:v>mmol/L</x:v>
      </x:c>
      <x:c r="J5" s="22" t="str">
        <x:v>IV-fluid-related</x:v>
      </x:c>
      <x:c r="K5" s="22" t="str">
        <x:v>Yes</x:v>
      </x:c>
      <x:c r="L5" s="22" t="str">
        <x:v>No</x:v>
      </x:c>
      <x:c r="M5" s="22" t="n">
        <x:v>138.2</x:v>
      </x:c>
      <x:c r="N5" s="22" t="str">
        <x:v>None</x:v>
      </x:c>
      <x:c r="O5" s="22" t="str">
        <x:v>No</x:v>
      </x:c>
      <x:c r="P5" s="22" t="str">
        <x:v>No</x:v>
      </x:c>
      <x:c r="Q5" s="22" t="str">
        <x:v>Not applicable</x:v>
      </x:c>
      <x:c r="R5" s="22" t="str">
        <x:v>Not applicable</x:v>
      </x:c>
      <x:c r="S5" s="22" t="str">
        <x:v>No</x:v>
      </x:c>
      <x:c r="T5" s="22" t="str">
        <x:v>No</x:v>
      </x:c>
      <x:c r="U5" s="22" t="str">
        <x:v>No</x:v>
      </x:c>
      <x:c r="V5" s="22" t="str">
        <x:v>nausea, seizure</x:v>
      </x:c>
      <x:c r="W5" s="22" t="str">
        <x:v>No</x:v>
      </x:c>
      <x:c r="X5" s="22" t="str">
        <x:v>Euvolaemic</x:v>
      </x:c>
      <x:c r="Y5" s="22" t="n">
        <x:v>104.9</x:v>
      </x:c>
      <x:c r="Z5" s="22" t="str">
        <x:v>NICE-NA-HYPO-IV-001</x:v>
      </x:c>
      <x:c r="AA5" s="22" t="str">
        <x:v>NICE detection / reassessment / escalation</x:v>
      </x:c>
      <x:c r="AB5" s="22" t="str">
        <x:v>Urgent review</x:v>
      </x:c>
      <x:c r="AC5" s="22" t="str">
        <x:v>NICE detection, reassessment and escalation</x:v>
      </x:c>
      <x:c r="AD5" s="22" t="str">
        <x:v>Treat as possible IV-fluid mismanagement: reassess the fluid prescription and monitoring plan, and seek expert help for a complex imbalance.</x:v>
      </x:c>
      <x:c r="AE5" s="22" t="str">
        <x:v>No definitive sodium-correction regimen is provided by CG174.</x:v>
      </x:c>
      <x:c r="AF5" s="22" t="str">
        <x:v>NICE-CG174</x:v>
      </x:c>
      <x:c r="AG5" s="22" t="str">
        <x:v>1.2.4, 1.5.1, 1.5.2, Table 1</x:v>
      </x:c>
      <x:c r="AH5" s="22" t="str">
        <x:v>Hyponatraemia adult IV-fluid-related guideline systematic review clinical review</x:v>
      </x:c>
      <x:c r="AI5" s="22" t="str">
        <x:v>train</x:v>
      </x:c>
      <x:c r="AJ5" s="22" t="str">
        <x:v>Yes</x:v>
      </x:c>
      <x:c r="AK5" s="22" t="str">
        <x:v>Pending</x:v>
      </x:c>
    </x:row>
    <x:row r="6">
      <x:c r="A6" t="str">
        <x:v>CASE-0589</x:v>
      </x:c>
      <x:c r="B6" s="22" t="str">
        <x:v>48-year-old male with hypercalcaemia. Adjusted calcium is 3.34 mmol/L; baseline is 3.65 mmol/L. Context: Confirmed primary hyperparathyroidism. Symptoms: None reported. IV fluids: No; CKD stage: None; heart failure: No; AKI: No; dialysis: No; eGFR: 55.5 mL/min/1.73m².</x:v>
      </x:c>
      <x:c r="C6" t="n">
        <x:v>48</x:v>
      </x:c>
      <x:c r="D6" t="str">
        <x:v>Male</x:v>
      </x:c>
      <x:c r="E6" t="str">
        <x:v>Not applicable</x:v>
      </x:c>
      <x:c r="F6" t="str">
        <x:v>Adjusted calcium</x:v>
      </x:c>
      <x:c r="G6" t="str">
        <x:v>Hypercalcaemia</x:v>
      </x:c>
      <x:c r="H6" t="n">
        <x:v>3.34</x:v>
      </x:c>
      <x:c r="I6" t="str">
        <x:v>mmol/L</x:v>
      </x:c>
      <x:c r="J6" s="22" t="str">
        <x:v>Confirmed primary hyperparathyroidism</x:v>
      </x:c>
      <x:c r="K6" s="22" t="str">
        <x:v>No</x:v>
      </x:c>
      <x:c r="L6" s="22" t="str">
        <x:v>No</x:v>
      </x:c>
      <x:c r="M6" s="22" t="n">
        <x:v>3.65</x:v>
      </x:c>
      <x:c r="N6" s="22" t="str">
        <x:v>None</x:v>
      </x:c>
      <x:c r="O6" s="22" t="str">
        <x:v>No</x:v>
      </x:c>
      <x:c r="P6" s="22" t="str">
        <x:v>No</x:v>
      </x:c>
      <x:c r="Q6" s="22" t="str">
        <x:v>Not applicable</x:v>
      </x:c>
      <x:c r="R6" s="22" t="str">
        <x:v>Not applicable</x:v>
      </x:c>
      <x:c r="S6" s="22" t="str">
        <x:v>No</x:v>
      </x:c>
      <x:c r="T6" s="22" t="str">
        <x:v>Yes</x:v>
      </x:c>
      <x:c r="U6" s="22" t="str">
        <x:v>No</x:v>
      </x:c>
      <x:c r="V6" s="22" t="str">
        <x:v>None reported</x:v>
      </x:c>
      <x:c r="W6" s="22" t="str">
        <x:v>No</x:v>
      </x:c>
      <x:c r="X6" s="22" t="str">
        <x:v>Hypervolaemic</x:v>
      </x:c>
      <x:c r="Y6" s="22" t="n">
        <x:v>55.5</x:v>
      </x:c>
      <x:c r="Z6" s="22" t="str">
        <x:v>NICE-CA-PHPT-REFER-001</x:v>
      </x:c>
      <x:c r="AA6" s="22" t="str">
        <x:v>Specific context-based NICE guidance</x:v>
      </x:c>
      <x:c r="AB6" s="22" t="str">
        <x:v>Specialist surgical referral</x:v>
      </x:c>
      <x:c r="AC6" s="22" t="str">
        <x:v>Specific NICE referral guidance</x:v>
      </x:c>
      <x:c r="AD6" s="22" t="str">
        <x:v>Refer to a surgeon with expertise in parathyroid surgery when one or more stated NICE criteria are present.</x:v>
      </x:c>
      <x:c r="AE6" s="22" t="str">
        <x:v>Applies only to confirmed primary hyperparathyroidism.</x:v>
      </x:c>
      <x:c r="AF6" s="22" t="str">
        <x:v>NICE-NG132</x:v>
      </x:c>
      <x:c r="AG6" s="22" t="str">
        <x:v>1.3.1 and 1.3.2</x:v>
      </x:c>
      <x:c r="AH6" s="22" t="str">
        <x:v>Hypercalcaemia adult Confirmed primary hyperparathyroidism guideline systematic review clinical review</x:v>
      </x:c>
      <x:c r="AI6" s="22" t="str">
        <x:v>train</x:v>
      </x:c>
      <x:c r="AJ6" s="22" t="str">
        <x:v>Yes</x:v>
      </x:c>
      <x:c r="AK6" s="22" t="str">
        <x:v>Pending</x:v>
      </x:c>
    </x:row>
    <x:row r="7">
      <x:c r="A7" t="str">
        <x:v>CASE-0465</x:v>
      </x:c>
      <x:c r="B7" s="22" t="str">
        <x:v>46-year-old female with hypocalcaemia. Adjusted calcium is 1.58 mmol/L; baseline is 1.61 mmol/L. Context: General adult presentation. Symptoms: muscle cramps, seizure. IV fluids: No; CKD stage: None; heart failure: No; AKI: No; dialysis: No; eGFR: 29.9 mL/min/1.73m².</x:v>
      </x:c>
      <x:c r="C7" t="n">
        <x:v>46</x:v>
      </x:c>
      <x:c r="D7" t="str">
        <x:v>Female</x:v>
      </x:c>
      <x:c r="E7" t="str">
        <x:v>Not applicable</x:v>
      </x:c>
      <x:c r="F7" t="str">
        <x:v>Adjusted calcium</x:v>
      </x:c>
      <x:c r="G7" t="str">
        <x:v>Hypocalcaemia</x:v>
      </x:c>
      <x:c r="H7" t="n">
        <x:v>1.58</x:v>
      </x:c>
      <x:c r="I7" t="str">
        <x:v>mmol/L</x:v>
      </x:c>
      <x:c r="J7" s="22" t="str">
        <x:v>General adult presentation</x:v>
      </x:c>
      <x:c r="K7" s="22" t="str">
        <x:v>No</x:v>
      </x:c>
      <x:c r="L7" s="22" t="str">
        <x:v>No</x:v>
      </x:c>
      <x:c r="M7" s="22" t="n">
        <x:v>1.61</x:v>
      </x:c>
      <x:c r="N7" s="22" t="str">
        <x:v>None</x:v>
      </x:c>
      <x:c r="O7" s="22" t="str">
        <x:v>No</x:v>
      </x:c>
      <x:c r="P7" s="22" t="str">
        <x:v>No</x:v>
      </x:c>
      <x:c r="Q7" s="22" t="str">
        <x:v>Not applicable</x:v>
      </x:c>
      <x:c r="R7" s="22" t="str">
        <x:v>Not applicable</x:v>
      </x:c>
      <x:c r="S7" s="22" t="str">
        <x:v>No</x:v>
      </x:c>
      <x:c r="T7" s="22" t="str">
        <x:v>No</x:v>
      </x:c>
      <x:c r="U7" s="22" t="str">
        <x:v>No</x:v>
      </x:c>
      <x:c r="V7" s="22" t="str">
        <x:v>muscle cramps, seizure</x:v>
      </x:c>
      <x:c r="W7" s="22" t="str">
        <x:v>No</x:v>
      </x:c>
      <x:c r="X7" s="22" t="str">
        <x:v>Uncertain</x:v>
      </x:c>
      <x:c r="Y7" s="22" t="n">
        <x:v>29.9</x:v>
      </x:c>
      <x:c r="Z7" s="22" t="str">
        <x:v>NICE-UNSUPPORTED-001</x:v>
      </x:c>
      <x:c r="AA7" s="22" t="str">
        <x:v>No definitive NICE-only management</x:v>
      </x:c>
      <x:c r="AB7" s="22" t="str">
        <x:v>Clinical review required</x:v>
      </x:c>
      <x:c r="AC7" s="22" t="str">
        <x:v>No definitive NICE-only management output</x:v>
      </x:c>
      <x:c r="AD7" s="22" t="str">
        <x:v>Do not generate treatment instructions. Display that an approved local protocol or specialist review is required.</x:v>
      </x:c>
      <x:c r="AE7" s="22" t="str">
        <x:v>This is a safety rule, not a treatment recommendation.</x:v>
      </x:c>
      <x:c r="AF7" s="22" t="str"/>
      <x:c r="AG7" s="22" t="str"/>
      <x:c r="AH7" s="22" t="str">
        <x:v>Hypocalcaemia adult General adult presentation guideline systematic review clinical review</x:v>
      </x:c>
      <x:c r="AI7" s="22" t="str">
        <x:v>train</x:v>
      </x:c>
      <x:c r="AJ7" s="22" t="str">
        <x:v>Yes</x:v>
      </x:c>
      <x:c r="AK7" s="22" t="str">
        <x:v>Pending</x:v>
      </x:c>
    </x:row>
    <x:row r="8">
      <x:c r="A8" t="str">
        <x:v>CASE-0875</x:v>
      </x:c>
      <x:c r="B8" s="22" t="str">
        <x:v>49-year-old male with no detected potassium abnormality. Potassium is 3.92 mmol/L. General adult presentation.</x:v>
      </x:c>
      <x:c r="C8" t="n">
        <x:v>49</x:v>
      </x:c>
      <x:c r="D8" t="str">
        <x:v>Male</x:v>
      </x:c>
      <x:c r="E8" t="str">
        <x:v>Not applicable</x:v>
      </x:c>
      <x:c r="F8" t="str">
        <x:v>Potassium</x:v>
      </x:c>
      <x:c r="G8" t="str">
        <x:v>No abnormality detected</x:v>
      </x:c>
      <x:c r="H8" t="n">
        <x:v>3.92</x:v>
      </x:c>
      <x:c r="I8" t="str">
        <x:v>mmol/L</x:v>
      </x:c>
      <x:c r="J8" s="22" t="str">
        <x:v>General adult presentation</x:v>
      </x:c>
      <x:c r="K8" s="22" t="str">
        <x:v>No</x:v>
      </x:c>
      <x:c r="L8" s="22" t="str">
        <x:v>No</x:v>
      </x:c>
      <x:c r="M8" s="22" t="n">
        <x:v>3.92</x:v>
      </x:c>
      <x:c r="N8" s="22" t="str">
        <x:v>None</x:v>
      </x:c>
      <x:c r="O8" s="22" t="str">
        <x:v>No</x:v>
      </x:c>
      <x:c r="P8" s="22" t="str">
        <x:v>No</x:v>
      </x:c>
      <x:c r="Q8" s="22" t="str">
        <x:v>Not applicable</x:v>
      </x:c>
      <x:c r="R8" s="22" t="str">
        <x:v>Not applicable</x:v>
      </x:c>
      <x:c r="S8" s="22" t="str">
        <x:v>No</x:v>
      </x:c>
      <x:c r="T8" s="22" t="str">
        <x:v>No</x:v>
      </x:c>
      <x:c r="U8" s="22" t="str">
        <x:v>No</x:v>
      </x:c>
      <x:c r="V8" s="22" t="str">
        <x:v>None reported</x:v>
      </x:c>
      <x:c r="W8" s="22" t="str">
        <x:v>No</x:v>
      </x:c>
      <x:c r="X8" s="22" t="str">
        <x:v>Euvolaemic</x:v>
      </x:c>
      <x:c r="Y8" s="22" t="n">
        <x:v>88.4</x:v>
      </x:c>
      <x:c r="Z8" s="22" t="str">
        <x:v>NICE-GLOBAL-ASSESS-001</x:v>
      </x:c>
      <x:c r="AA8" s="22" t="str">
        <x:v>General NICE assessment only</x:v>
      </x:c>
      <x:c r="AB8" s="22" t="str">
        <x:v>Routine review</x:v>
      </x:c>
      <x:c r="AC8" s="22" t="str">
        <x:v>No abnormality-specific management</x:v>
      </x:c>
      <x:c r="AD8" s="22" t="str">
        <x:v>No electrolyte abnormality is detected by the synthetic reference range; interpret the result with the full clinical picture.</x:v>
      </x:c>
      <x:c r="AE8" s="22" t="str">
        <x:v>Synthetic reference ranges are not NICE management thresholds.</x:v>
      </x:c>
      <x:c r="AF8" s="22" t="str">
        <x:v>NICE-CG174</x:v>
      </x:c>
      <x:c r="AG8" s="22" t="str">
        <x:v>1.1.1 and 1.2.2</x:v>
      </x:c>
      <x:c r="AH8" s="22" t="str">
        <x:v>Potassium reference interval adult laboratory interpretation</x:v>
      </x:c>
      <x:c r="AI8" s="22" t="str">
        <x:v>train</x:v>
      </x:c>
      <x:c r="AJ8" s="22" t="str">
        <x:v>Yes</x:v>
      </x:c>
      <x:c r="AK8" s="22" t="str">
        <x:v>Pending</x:v>
      </x:c>
    </x:row>
    <x:row r="9">
      <x:c r="A9" t="str">
        <x:v>CASE-0082</x:v>
      </x:c>
      <x:c r="B9" s="22" t="str">
        <x:v>23-year-old male with hyponatraemia. Sodium is 128.0 mmol/L; baseline is 127.7 mmol/L. Context: General adult presentation. Symptoms: confusion. IV fluids: No; CKD stage: None; heart failure: No; AKI: No; dialysis: No; eGFR: 94.8 mL/min/1.73m².</x:v>
      </x:c>
      <x:c r="C9" t="n">
        <x:v>23</x:v>
      </x:c>
      <x:c r="D9" t="str">
        <x:v>Male</x:v>
      </x:c>
      <x:c r="E9" t="str">
        <x:v>Not applicable</x:v>
      </x:c>
      <x:c r="F9" t="str">
        <x:v>Sodium</x:v>
      </x:c>
      <x:c r="G9" t="str">
        <x:v>Hyponatraemia</x:v>
      </x:c>
      <x:c r="H9" t="n">
        <x:v>128</x:v>
      </x:c>
      <x:c r="I9" t="str">
        <x:v>mmol/L</x:v>
      </x:c>
      <x:c r="J9" s="22" t="str">
        <x:v>General adult presentation</x:v>
      </x:c>
      <x:c r="K9" s="22" t="str">
        <x:v>No</x:v>
      </x:c>
      <x:c r="L9" s="22" t="str">
        <x:v>No</x:v>
      </x:c>
      <x:c r="M9" s="22" t="n">
        <x:v>127.7</x:v>
      </x:c>
      <x:c r="N9" s="22" t="str">
        <x:v>None</x:v>
      </x:c>
      <x:c r="O9" s="22" t="str">
        <x:v>No</x:v>
      </x:c>
      <x:c r="P9" s="22" t="str">
        <x:v>No</x:v>
      </x:c>
      <x:c r="Q9" s="22" t="str">
        <x:v>Not applicable</x:v>
      </x:c>
      <x:c r="R9" s="22" t="str">
        <x:v>Not applicable</x:v>
      </x:c>
      <x:c r="S9" s="22" t="str">
        <x:v>No</x:v>
      </x:c>
      <x:c r="T9" s="22" t="str">
        <x:v>No</x:v>
      </x:c>
      <x:c r="U9" s="22" t="str">
        <x:v>No</x:v>
      </x:c>
      <x:c r="V9" s="22" t="str">
        <x:v>confusion</x:v>
      </x:c>
      <x:c r="W9" s="22" t="str">
        <x:v>No</x:v>
      </x:c>
      <x:c r="X9" s="22" t="str">
        <x:v>Hypervolaemic</x:v>
      </x:c>
      <x:c r="Y9" s="22" t="n">
        <x:v>94.8</x:v>
      </x:c>
      <x:c r="Z9" s="22" t="str">
        <x:v>NICE-UNSUPPORTED-001</x:v>
      </x:c>
      <x:c r="AA9" s="22" t="str">
        <x:v>No definitive NICE-only management</x:v>
      </x:c>
      <x:c r="AB9" s="22" t="str">
        <x:v>Clinical review required</x:v>
      </x:c>
      <x:c r="AC9" s="22" t="str">
        <x:v>No definitive NICE-only management output</x:v>
      </x:c>
      <x:c r="AD9" s="22" t="str">
        <x:v>Do not generate treatment instructions. Display that an approved local protocol or specialist review is required.</x:v>
      </x:c>
      <x:c r="AE9" s="22" t="str">
        <x:v>This is a safety rule, not a treatment recommendation.</x:v>
      </x:c>
      <x:c r="AF9" s="22" t="str"/>
      <x:c r="AG9" s="22" t="str"/>
      <x:c r="AH9" s="22" t="str">
        <x:v>Hyponatraemia adult General adult presentation guideline systematic review clinical review</x:v>
      </x:c>
      <x:c r="AI9" s="22" t="str">
        <x:v>train</x:v>
      </x:c>
      <x:c r="AJ9" s="22" t="str">
        <x:v>Yes</x:v>
      </x:c>
      <x:c r="AK9" s="22" t="str">
        <x:v>Pending</x:v>
      </x:c>
    </x:row>
    <x:row r="10">
      <x:c r="A10" t="str">
        <x:v>CASE-0785</x:v>
      </x:c>
      <x:c r="B10" s="22" t="str">
        <x:v>49-year-old female with hypermagnesaemia. Magnesium is 3.02 mmol/L; baseline is 4.2 mmol/L. Context: General adult presentation. Symptoms: reduced reflexes, confusion, weakness. IV fluids: No; CKD stage: None; heart failure: No; AKI: No; dialysis: No; eGFR: 71.9 mL/min/1.73m².</x:v>
      </x:c>
      <x:c r="C10" t="n">
        <x:v>49</x:v>
      </x:c>
      <x:c r="D10" t="str">
        <x:v>Female</x:v>
      </x:c>
      <x:c r="E10" t="str">
        <x:v>Not applicable</x:v>
      </x:c>
      <x:c r="F10" t="str">
        <x:v>Magnesium</x:v>
      </x:c>
      <x:c r="G10" t="str">
        <x:v>Hypermagnesaemia</x:v>
      </x:c>
      <x:c r="H10" t="n">
        <x:v>3.02</x:v>
      </x:c>
      <x:c r="I10" t="str">
        <x:v>mmol/L</x:v>
      </x:c>
      <x:c r="J10" s="22" t="str">
        <x:v>General adult presentation</x:v>
      </x:c>
      <x:c r="K10" s="22" t="str">
        <x:v>No</x:v>
      </x:c>
      <x:c r="L10" s="22" t="str">
        <x:v>No</x:v>
      </x:c>
      <x:c r="M10" s="22" t="n">
        <x:v>4.2</x:v>
      </x:c>
      <x:c r="N10" s="22" t="str">
        <x:v>None</x:v>
      </x:c>
      <x:c r="O10" s="22" t="str">
        <x:v>No</x:v>
      </x:c>
      <x:c r="P10" s="22" t="str">
        <x:v>No</x:v>
      </x:c>
      <x:c r="Q10" s="22" t="str">
        <x:v>Not applicable</x:v>
      </x:c>
      <x:c r="R10" s="22" t="str">
        <x:v>Not applicable</x:v>
      </x:c>
      <x:c r="S10" s="22" t="str">
        <x:v>No</x:v>
      </x:c>
      <x:c r="T10" s="22" t="str">
        <x:v>No</x:v>
      </x:c>
      <x:c r="U10" s="22" t="str">
        <x:v>No</x:v>
      </x:c>
      <x:c r="V10" s="22" t="str">
        <x:v>reduced reflexes, confusion, weakness</x:v>
      </x:c>
      <x:c r="W10" s="22" t="str">
        <x:v>No</x:v>
      </x:c>
      <x:c r="X10" s="22" t="str">
        <x:v>Hypovolaemic</x:v>
      </x:c>
      <x:c r="Y10" s="22" t="n">
        <x:v>71.9</x:v>
      </x:c>
      <x:c r="Z10" s="22" t="str">
        <x:v>NICE-UNSUPPORTED-001</x:v>
      </x:c>
      <x:c r="AA10" s="22" t="str">
        <x:v>No definitive NICE-only management</x:v>
      </x:c>
      <x:c r="AB10" s="22" t="str">
        <x:v>Clinical review required</x:v>
      </x:c>
      <x:c r="AC10" s="22" t="str">
        <x:v>No definitive NICE-only management output</x:v>
      </x:c>
      <x:c r="AD10" s="22" t="str">
        <x:v>Do not generate treatment instructions. Display that an approved local protocol or specialist review is required.</x:v>
      </x:c>
      <x:c r="AE10" s="22" t="str">
        <x:v>This is a safety rule, not a treatment recommendation.</x:v>
      </x:c>
      <x:c r="AF10" s="22" t="str"/>
      <x:c r="AG10" s="22" t="str"/>
      <x:c r="AH10" s="22" t="str">
        <x:v>Hypermagnesaemia adult General adult presentation guideline systematic review clinical review</x:v>
      </x:c>
      <x:c r="AI10" s="22" t="str">
        <x:v>train</x:v>
      </x:c>
      <x:c r="AJ10" s="22" t="str">
        <x:v>Yes</x:v>
      </x:c>
      <x:c r="AK10" s="22" t="str">
        <x:v>Pending</x:v>
      </x:c>
    </x:row>
    <x:row r="11">
      <x:c r="A11" t="str">
        <x:v>CASE-0621</x:v>
      </x:c>
      <x:c r="B11" s="22" t="str">
        <x:v>34-year-old female with hypomagnesaemia. Magnesium is 0.5 mmol/L; baseline is 0.34 mmol/L. Context: General adult presentation. Symptoms: weakness. IV fluids: No; CKD stage: None; heart failure: No; AKI: No; dialysis: No; eGFR: 86.8 mL/min/1.73m².</x:v>
      </x:c>
      <x:c r="C11" t="n">
        <x:v>34</x:v>
      </x:c>
      <x:c r="D11" t="str">
        <x:v>Female</x:v>
      </x:c>
      <x:c r="E11" t="str">
        <x:v>Not pregnant</x:v>
      </x:c>
      <x:c r="F11" t="str">
        <x:v>Magnesium</x:v>
      </x:c>
      <x:c r="G11" t="str">
        <x:v>Hypomagnesaemia</x:v>
      </x:c>
      <x:c r="H11" t="n">
        <x:v>0.5</x:v>
      </x:c>
      <x:c r="I11" t="str">
        <x:v>mmol/L</x:v>
      </x:c>
      <x:c r="J11" s="22" t="str">
        <x:v>General adult presentation</x:v>
      </x:c>
      <x:c r="K11" s="22" t="str">
        <x:v>No</x:v>
      </x:c>
      <x:c r="L11" s="22" t="str">
        <x:v>No</x:v>
      </x:c>
      <x:c r="M11" s="22" t="n">
        <x:v>0.34</x:v>
      </x:c>
      <x:c r="N11" s="22" t="str">
        <x:v>None</x:v>
      </x:c>
      <x:c r="O11" s="22" t="str">
        <x:v>No</x:v>
      </x:c>
      <x:c r="P11" s="22" t="str">
        <x:v>No</x:v>
      </x:c>
      <x:c r="Q11" s="22" t="str">
        <x:v>Not applicable</x:v>
      </x:c>
      <x:c r="R11" s="22" t="str">
        <x:v>Not applicable</x:v>
      </x:c>
      <x:c r="S11" s="22" t="str">
        <x:v>No</x:v>
      </x:c>
      <x:c r="T11" s="22" t="str">
        <x:v>No</x:v>
      </x:c>
      <x:c r="U11" s="22" t="str">
        <x:v>No</x:v>
      </x:c>
      <x:c r="V11" s="22" t="str">
        <x:v>weakness</x:v>
      </x:c>
      <x:c r="W11" s="22" t="str">
        <x:v>No</x:v>
      </x:c>
      <x:c r="X11" s="22" t="str">
        <x:v>Hypervolaemic</x:v>
      </x:c>
      <x:c r="Y11" s="22" t="n">
        <x:v>86.8</x:v>
      </x:c>
      <x:c r="Z11" s="22" t="str">
        <x:v>NICE-UNSUPPORTED-001</x:v>
      </x:c>
      <x:c r="AA11" s="22" t="str">
        <x:v>No definitive NICE-only management</x:v>
      </x:c>
      <x:c r="AB11" s="22" t="str">
        <x:v>Clinical review required</x:v>
      </x:c>
      <x:c r="AC11" s="22" t="str">
        <x:v>No definitive NICE-only management output</x:v>
      </x:c>
      <x:c r="AD11" s="22" t="str">
        <x:v>Do not generate treatment instructions. Display that an approved local protocol or specialist review is required.</x:v>
      </x:c>
      <x:c r="AE11" s="22" t="str">
        <x:v>This is a safety rule, not a treatment recommendation.</x:v>
      </x:c>
      <x:c r="AF11" s="22" t="str"/>
      <x:c r="AG11" s="22" t="str"/>
      <x:c r="AH11" s="22" t="str">
        <x:v>Hypomagnesaemia adult General adult presentation guideline systematic review clinical review</x:v>
      </x:c>
      <x:c r="AI11" s="22" t="str">
        <x:v>train</x:v>
      </x:c>
      <x:c r="AJ11" s="22" t="str">
        <x:v>Yes</x:v>
      </x:c>
      <x:c r="AK11" s="22" t="str">
        <x:v>Pending</x:v>
      </x:c>
    </x:row>
    <x:row r="12">
      <x:c r="A12" t="str">
        <x:v>CASE-0142</x:v>
      </x:c>
      <x:c r="B12" s="22" t="str">
        <x:v>65-year-old female with hypernatraemia. Sodium is 158.8 mmol/L; baseline is 132.4 mmol/L. Context: IV-fluid-related. Symptoms: thirst, lethargy. IV fluids: Yes; CKD stage: None; heart failure: No; AKI: No; dialysis: No; eGFR: 93.1 mL/min/1.73m².</x:v>
      </x:c>
      <x:c r="C12" t="n">
        <x:v>65</x:v>
      </x:c>
      <x:c r="D12" t="str">
        <x:v>Female</x:v>
      </x:c>
      <x:c r="E12" t="str">
        <x:v>Not applicable</x:v>
      </x:c>
      <x:c r="F12" t="str">
        <x:v>Sodium</x:v>
      </x:c>
      <x:c r="G12" t="str">
        <x:v>Hypernatraemia</x:v>
      </x:c>
      <x:c r="H12" t="n">
        <x:v>158.8</x:v>
      </x:c>
      <x:c r="I12" t="str">
        <x:v>mmol/L</x:v>
      </x:c>
      <x:c r="J12" s="22" t="str">
        <x:v>IV-fluid-related</x:v>
      </x:c>
      <x:c r="K12" s="22" t="str">
        <x:v>Yes</x:v>
      </x:c>
      <x:c r="L12" s="22" t="str">
        <x:v>Yes</x:v>
      </x:c>
      <x:c r="M12" s="22" t="n">
        <x:v>132.4</x:v>
      </x:c>
      <x:c r="N12" s="22" t="str">
        <x:v>None</x:v>
      </x:c>
      <x:c r="O12" s="22" t="str">
        <x:v>No</x:v>
      </x:c>
      <x:c r="P12" s="22" t="str">
        <x:v>No</x:v>
      </x:c>
      <x:c r="Q12" s="22" t="str">
        <x:v>Not applicable</x:v>
      </x:c>
      <x:c r="R12" s="22" t="str">
        <x:v>Not applicable</x:v>
      </x:c>
      <x:c r="S12" s="22" t="str">
        <x:v>No</x:v>
      </x:c>
      <x:c r="T12" s="22" t="str">
        <x:v>No</x:v>
      </x:c>
      <x:c r="U12" s="22" t="str">
        <x:v>No</x:v>
      </x:c>
      <x:c r="V12" s="22" t="str">
        <x:v>thirst, lethargy</x:v>
      </x:c>
      <x:c r="W12" s="22" t="str">
        <x:v>No</x:v>
      </x:c>
      <x:c r="X12" s="22" t="str">
        <x:v>Euvolaemic</x:v>
      </x:c>
      <x:c r="Y12" s="22" t="n">
        <x:v>93.1</x:v>
      </x:c>
      <x:c r="Z12" s="22" t="str">
        <x:v>NICE-NA-HYPER-IV-001</x:v>
      </x:c>
      <x:c r="AA12" s="22" t="str">
        <x:v>NICE detection / reassessment / escalation</x:v>
      </x:c>
      <x:c r="AB12" s="22" t="str">
        <x:v>Urgent review</x:v>
      </x:c>
      <x:c r="AC12" s="22" t="str">
        <x:v>NICE detection, reassessment and escalation</x:v>
      </x:c>
      <x:c r="AD12" s="22" t="str">
        <x:v>Treat as possible IV-fluid mismanagement: reassess the fluid prescription and monitoring plan, and seek expert help for the imbalance.</x:v>
      </x:c>
      <x:c r="AE12" s="22" t="str">
        <x:v>No definitive sodium-correction regimen is provided by CG174.</x:v>
      </x:c>
      <x:c r="AF12" s="22" t="str">
        <x:v>NICE-CG174</x:v>
      </x:c>
      <x:c r="AG12" s="22" t="str">
        <x:v>1.2.4, 1.5.1, 1.5.2, Table 1</x:v>
      </x:c>
      <x:c r="AH12" s="22" t="str">
        <x:v>Hypernatraemia adult IV-fluid-related guideline systematic review clinical review</x:v>
      </x:c>
      <x:c r="AI12" s="22" t="str">
        <x:v>train</x:v>
      </x:c>
      <x:c r="AJ12" s="22" t="str">
        <x:v>Yes</x:v>
      </x:c>
      <x:c r="AK12" s="22" t="str">
        <x:v>Pending</x:v>
      </x:c>
    </x:row>
    <x:row r="13">
      <x:c r="A13" t="str">
        <x:v>CASE-0897</x:v>
      </x:c>
      <x:c r="B13" s="22" t="str">
        <x:v>24-year-old male with no detected potassium abnormality. Potassium is 3.79 mmol/L. General adult presentation.</x:v>
      </x:c>
      <x:c r="C13" t="n">
        <x:v>24</x:v>
      </x:c>
      <x:c r="D13" t="str">
        <x:v>Male</x:v>
      </x:c>
      <x:c r="E13" t="str">
        <x:v>Not applicable</x:v>
      </x:c>
      <x:c r="F13" t="str">
        <x:v>Potassium</x:v>
      </x:c>
      <x:c r="G13" t="str">
        <x:v>No abnormality detected</x:v>
      </x:c>
      <x:c r="H13" t="n">
        <x:v>3.79</x:v>
      </x:c>
      <x:c r="I13" t="str">
        <x:v>mmol/L</x:v>
      </x:c>
      <x:c r="J13" s="22" t="str">
        <x:v>General adult presentation</x:v>
      </x:c>
      <x:c r="K13" s="22" t="str">
        <x:v>No</x:v>
      </x:c>
      <x:c r="L13" s="22" t="str">
        <x:v>No</x:v>
      </x:c>
      <x:c r="M13" s="22" t="n">
        <x:v>3.79</x:v>
      </x:c>
      <x:c r="N13" s="22" t="str">
        <x:v>None</x:v>
      </x:c>
      <x:c r="O13" s="22" t="str">
        <x:v>No</x:v>
      </x:c>
      <x:c r="P13" s="22" t="str">
        <x:v>No</x:v>
      </x:c>
      <x:c r="Q13" s="22" t="str">
        <x:v>Not applicable</x:v>
      </x:c>
      <x:c r="R13" s="22" t="str">
        <x:v>Not applicable</x:v>
      </x:c>
      <x:c r="S13" s="22" t="str">
        <x:v>No</x:v>
      </x:c>
      <x:c r="T13" s="22" t="str">
        <x:v>No</x:v>
      </x:c>
      <x:c r="U13" s="22" t="str">
        <x:v>No</x:v>
      </x:c>
      <x:c r="V13" s="22" t="str">
        <x:v>None reported</x:v>
      </x:c>
      <x:c r="W13" s="22" t="str">
        <x:v>No</x:v>
      </x:c>
      <x:c r="X13" s="22" t="str">
        <x:v>Euvolaemic</x:v>
      </x:c>
      <x:c r="Y13" s="22" t="n">
        <x:v>91</x:v>
      </x:c>
      <x:c r="Z13" s="22" t="str">
        <x:v>NICE-GLOBAL-ASSESS-001</x:v>
      </x:c>
      <x:c r="AA13" s="22" t="str">
        <x:v>General NICE assessment only</x:v>
      </x:c>
      <x:c r="AB13" s="22" t="str">
        <x:v>Routine review</x:v>
      </x:c>
      <x:c r="AC13" s="22" t="str">
        <x:v>No abnormality-specific management</x:v>
      </x:c>
      <x:c r="AD13" s="22" t="str">
        <x:v>No electrolyte abnormality is detected by the synthetic reference range; interpret the result with the full clinical picture.</x:v>
      </x:c>
      <x:c r="AE13" s="22" t="str">
        <x:v>Synthetic reference ranges are not NICE management thresholds.</x:v>
      </x:c>
      <x:c r="AF13" s="22" t="str">
        <x:v>NICE-CG174</x:v>
      </x:c>
      <x:c r="AG13" s="22" t="str">
        <x:v>1.1.1 and 1.2.2</x:v>
      </x:c>
      <x:c r="AH13" s="22" t="str">
        <x:v>Potassium reference interval adult laboratory interpretation</x:v>
      </x:c>
      <x:c r="AI13" s="22" t="str">
        <x:v>train</x:v>
      </x:c>
      <x:c r="AJ13" s="22" t="str">
        <x:v>Yes</x:v>
      </x:c>
      <x:c r="AK13" s="22" t="str">
        <x:v>Pending</x:v>
      </x:c>
    </x:row>
    <x:row r="14">
      <x:c r="A14" t="str">
        <x:v>CASE-0291</x:v>
      </x:c>
      <x:c r="B14" s="22" t="str">
        <x:v>56-year-old male with hypokalaemia. Potassium is 2.85 mmol/L; baseline is 4.5 mmol/L. Context: IV-fluid-related. Symptoms: None reported. IV fluids: Yes; CKD stage: None; heart failure: No; AKI: No; dialysis: No; eGFR: 103.6 mL/min/1.73m².</x:v>
      </x:c>
      <x:c r="C14" t="n">
        <x:v>56</x:v>
      </x:c>
      <x:c r="D14" t="str">
        <x:v>Male</x:v>
      </x:c>
      <x:c r="E14" t="str">
        <x:v>Not applicable</x:v>
      </x:c>
      <x:c r="F14" t="str">
        <x:v>Potassium</x:v>
      </x:c>
      <x:c r="G14" t="str">
        <x:v>Hypokalaemia</x:v>
      </x:c>
      <x:c r="H14" t="n">
        <x:v>2.85</x:v>
      </x:c>
      <x:c r="I14" t="str">
        <x:v>mmol/L</x:v>
      </x:c>
      <x:c r="J14" s="22" t="str">
        <x:v>IV-fluid-related</x:v>
      </x:c>
      <x:c r="K14" s="22" t="str">
        <x:v>Yes</x:v>
      </x:c>
      <x:c r="L14" s="22" t="str">
        <x:v>No</x:v>
      </x:c>
      <x:c r="M14" s="22" t="n">
        <x:v>4.5</x:v>
      </x:c>
      <x:c r="N14" s="22" t="str">
        <x:v>None</x:v>
      </x:c>
      <x:c r="O14" s="22" t="str">
        <x:v>No</x:v>
      </x:c>
      <x:c r="P14" s="22" t="str">
        <x:v>No</x:v>
      </x:c>
      <x:c r="Q14" s="22" t="str">
        <x:v>Not applicable</x:v>
      </x:c>
      <x:c r="R14" s="22" t="str">
        <x:v>Not applicable</x:v>
      </x:c>
      <x:c r="S14" s="22" t="str">
        <x:v>No</x:v>
      </x:c>
      <x:c r="T14" s="22" t="str">
        <x:v>No</x:v>
      </x:c>
      <x:c r="U14" s="22" t="str">
        <x:v>No</x:v>
      </x:c>
      <x:c r="V14" s="22" t="str">
        <x:v>None reported</x:v>
      </x:c>
      <x:c r="W14" s="22" t="str">
        <x:v>No</x:v>
      </x:c>
      <x:c r="X14" s="22" t="str">
        <x:v>Hypovolaemic</x:v>
      </x:c>
      <x:c r="Y14" s="22" t="n">
        <x:v>103.6</x:v>
      </x:c>
      <x:c r="Z14" s="22" t="str">
        <x:v>NICE-K-HYPO-IV-001</x:v>
      </x:c>
      <x:c r="AA14" s="22" t="str">
        <x:v>NICE detection / reassessment / escalation</x:v>
      </x:c>
      <x:c r="AB14" s="22" t="str">
        <x:v>Urgent review</x:v>
      </x:c>
      <x:c r="AC14" s="22" t="str">
        <x:v>NICE detection and IV-plan reassessment</x:v>
      </x:c>
      <x:c r="AD14" s="22" t="str">
        <x:v>Treat as possible IV-fluid mismanagement: reassess the IV-fluid and electrolyte prescription and increase monitoring as clinically required.</x:v>
      </x:c>
      <x:c r="AE14" s="22" t="str">
        <x:v>No replacement dose is generated.</x:v>
      </x:c>
      <x:c r="AF14" s="22" t="str">
        <x:v>NICE-CG174</x:v>
      </x:c>
      <x:c r="AG14" s="22" t="str">
        <x:v>1.2.4, 1.4.1, 1.4.4, 1.5.1, Table 1</x:v>
      </x:c>
      <x:c r="AH14" s="22" t="str">
        <x:v>Hypokalaemia adult IV-fluid-related guideline systematic review clinical review</x:v>
      </x:c>
      <x:c r="AI14" s="22" t="str">
        <x:v>train</x:v>
      </x:c>
      <x:c r="AJ14" s="22" t="str">
        <x:v>Yes</x:v>
      </x:c>
      <x:c r="AK14" s="22" t="str">
        <x:v>Pending</x:v>
      </x:c>
    </x:row>
    <x:row r="15">
      <x:c r="A15" t="str">
        <x:v>CASE-0244</x:v>
      </x:c>
      <x:c r="B15" s="22" t="str">
        <x:v>49-year-old female with hypokalaemia. Potassium is 2.42 mmol/L; baseline is 2.72 mmol/L. Context: General adult presentation. Symptoms: palpitations. IV fluids: No; CKD stage: None; heart failure: No; AKI: No; dialysis: No; eGFR: 32.1 mL/min/1.73m².</x:v>
      </x:c>
      <x:c r="C15" t="n">
        <x:v>49</x:v>
      </x:c>
      <x:c r="D15" t="str">
        <x:v>Female</x:v>
      </x:c>
      <x:c r="E15" t="str">
        <x:v>Not applicable</x:v>
      </x:c>
      <x:c r="F15" t="str">
        <x:v>Potassium</x:v>
      </x:c>
      <x:c r="G15" t="str">
        <x:v>Hypokalaemia</x:v>
      </x:c>
      <x:c r="H15" t="n">
        <x:v>2.42</x:v>
      </x:c>
      <x:c r="I15" t="str">
        <x:v>mmol/L</x:v>
      </x:c>
      <x:c r="J15" s="22" t="str">
        <x:v>General adult presentation</x:v>
      </x:c>
      <x:c r="K15" s="22" t="str">
        <x:v>No</x:v>
      </x:c>
      <x:c r="L15" s="22" t="str">
        <x:v>No</x:v>
      </x:c>
      <x:c r="M15" s="22" t="n">
        <x:v>2.72</x:v>
      </x:c>
      <x:c r="N15" s="22" t="str">
        <x:v>None</x:v>
      </x:c>
      <x:c r="O15" s="22" t="str">
        <x:v>No</x:v>
      </x:c>
      <x:c r="P15" s="22" t="str">
        <x:v>No</x:v>
      </x:c>
      <x:c r="Q15" s="22" t="str">
        <x:v>Not applicable</x:v>
      </x:c>
      <x:c r="R15" s="22" t="str">
        <x:v>Not applicable</x:v>
      </x:c>
      <x:c r="S15" s="22" t="str">
        <x:v>No</x:v>
      </x:c>
      <x:c r="T15" s="22" t="str">
        <x:v>No</x:v>
      </x:c>
      <x:c r="U15" s="22" t="str">
        <x:v>No</x:v>
      </x:c>
      <x:c r="V15" s="22" t="str">
        <x:v>palpitations</x:v>
      </x:c>
      <x:c r="W15" s="22" t="str">
        <x:v>No</x:v>
      </x:c>
      <x:c r="X15" s="22" t="str">
        <x:v>Euvolaemic</x:v>
      </x:c>
      <x:c r="Y15" s="22" t="n">
        <x:v>32.1</x:v>
      </x:c>
      <x:c r="Z15" s="22" t="str">
        <x:v>NICE-UNSUPPORTED-001</x:v>
      </x:c>
      <x:c r="AA15" s="22" t="str">
        <x:v>No definitive NICE-only management</x:v>
      </x:c>
      <x:c r="AB15" s="22" t="str">
        <x:v>Clinical review required</x:v>
      </x:c>
      <x:c r="AC15" s="22" t="str">
        <x:v>No definitive NICE-only management output</x:v>
      </x:c>
      <x:c r="AD15" s="22" t="str">
        <x:v>Do not generate treatment instructions. Display that an approved local protocol or specialist review is required.</x:v>
      </x:c>
      <x:c r="AE15" s="22" t="str">
        <x:v>This is a safety rule, not a treatment recommendation.</x:v>
      </x:c>
      <x:c r="AF15" s="22" t="str"/>
      <x:c r="AG15" s="22" t="str"/>
      <x:c r="AH15" s="22" t="str">
        <x:v>Hypokalaemia adult General adult presentation guideline systematic review clinical review</x:v>
      </x:c>
      <x:c r="AI15" s="22" t="str">
        <x:v>validation</x:v>
      </x:c>
      <x:c r="AJ15" s="22" t="str">
        <x:v>Yes</x:v>
      </x:c>
      <x:c r="AK15" s="22" t="str">
        <x:v>Pending</x:v>
      </x:c>
    </x:row>
    <x:row r="16">
      <x:c r="A16" t="str">
        <x:v>CASE-0290</x:v>
      </x:c>
      <x:c r="B16" s="22" t="str">
        <x:v>85-year-old male with hypokalaemia. Potassium is 2.08 mmol/L; baseline is 4.05 mmol/L. Context: IV-fluid-related. Symptoms: None reported. IV fluids: Yes; CKD stage: None; heart failure: No; AKI: No; dialysis: No; eGFR: 31.3 mL/min/1.73m².</x:v>
      </x:c>
      <x:c r="C16" t="n">
        <x:v>85</x:v>
      </x:c>
      <x:c r="D16" t="str">
        <x:v>Male</x:v>
      </x:c>
      <x:c r="E16" t="str">
        <x:v>Not applicable</x:v>
      </x:c>
      <x:c r="F16" t="str">
        <x:v>Potassium</x:v>
      </x:c>
      <x:c r="G16" t="str">
        <x:v>Hypokalaemia</x:v>
      </x:c>
      <x:c r="H16" t="n">
        <x:v>2.08</x:v>
      </x:c>
      <x:c r="I16" t="str">
        <x:v>mmol/L</x:v>
      </x:c>
      <x:c r="J16" s="22" t="str">
        <x:v>IV-fluid-related</x:v>
      </x:c>
      <x:c r="K16" s="22" t="str">
        <x:v>Yes</x:v>
      </x:c>
      <x:c r="L16" s="22" t="str">
        <x:v>No</x:v>
      </x:c>
      <x:c r="M16" s="22" t="n">
        <x:v>4.05</x:v>
      </x:c>
      <x:c r="N16" s="22" t="str">
        <x:v>None</x:v>
      </x:c>
      <x:c r="O16" s="22" t="str">
        <x:v>No</x:v>
      </x:c>
      <x:c r="P16" s="22" t="str">
        <x:v>No</x:v>
      </x:c>
      <x:c r="Q16" s="22" t="str">
        <x:v>Not applicable</x:v>
      </x:c>
      <x:c r="R16" s="22" t="str">
        <x:v>Not applicable</x:v>
      </x:c>
      <x:c r="S16" s="22" t="str">
        <x:v>No</x:v>
      </x:c>
      <x:c r="T16" s="22" t="str">
        <x:v>No</x:v>
      </x:c>
      <x:c r="U16" s="22" t="str">
        <x:v>No</x:v>
      </x:c>
      <x:c r="V16" s="22" t="str">
        <x:v>None reported</x:v>
      </x:c>
      <x:c r="W16" s="22" t="str">
        <x:v>No</x:v>
      </x:c>
      <x:c r="X16" s="22" t="str">
        <x:v>Euvolaemic</x:v>
      </x:c>
      <x:c r="Y16" s="22" t="n">
        <x:v>31.3</x:v>
      </x:c>
      <x:c r="Z16" s="22" t="str">
        <x:v>NICE-K-HYPO-IV-001</x:v>
      </x:c>
      <x:c r="AA16" s="22" t="str">
        <x:v>NICE detection / reassessment / escalation</x:v>
      </x:c>
      <x:c r="AB16" s="22" t="str">
        <x:v>Urgent review</x:v>
      </x:c>
      <x:c r="AC16" s="22" t="str">
        <x:v>NICE detection and IV-plan reassessment</x:v>
      </x:c>
      <x:c r="AD16" s="22" t="str">
        <x:v>Treat as possible IV-fluid mismanagement: reassess the IV-fluid and electrolyte prescription and increase monitoring as clinically required.</x:v>
      </x:c>
      <x:c r="AE16" s="22" t="str">
        <x:v>No replacement dose is generated.</x:v>
      </x:c>
      <x:c r="AF16" s="22" t="str">
        <x:v>NICE-CG174</x:v>
      </x:c>
      <x:c r="AG16" s="22" t="str">
        <x:v>1.2.4, 1.4.1, 1.4.4, 1.5.1, Table 1</x:v>
      </x:c>
      <x:c r="AH16" s="22" t="str">
        <x:v>Hypokalaemia adult IV-fluid-related guideline systematic review clinical review</x:v>
      </x:c>
      <x:c r="AI16" s="22" t="str">
        <x:v>validation</x:v>
      </x:c>
      <x:c r="AJ16" s="22" t="str">
        <x:v>Yes</x:v>
      </x:c>
      <x:c r="AK16" s="22" t="str">
        <x:v>Pending</x:v>
      </x:c>
    </x:row>
    <x:row r="17">
      <x:c r="A17" t="str">
        <x:v>CASE-0236</x:v>
      </x:c>
      <x:c r="B17" s="22" t="str">
        <x:v>58-year-old male with hypokalaemia. Potassium is 3.11 mmol/L; baseline is 4.04 mmol/L. Context: IV-fluid-related. Symptoms: constipation, weakness. IV fluids: Yes; CKD stage: None; heart failure: No; AKI: No; dialysis: No; eGFR: 104.7 mL/min/1.73m².</x:v>
      </x:c>
      <x:c r="C17" t="n">
        <x:v>58</x:v>
      </x:c>
      <x:c r="D17" t="str">
        <x:v>Male</x:v>
      </x:c>
      <x:c r="E17" t="str">
        <x:v>Not applicable</x:v>
      </x:c>
      <x:c r="F17" t="str">
        <x:v>Potassium</x:v>
      </x:c>
      <x:c r="G17" t="str">
        <x:v>Hypokalaemia</x:v>
      </x:c>
      <x:c r="H17" t="n">
        <x:v>3.11</x:v>
      </x:c>
      <x:c r="I17" t="str">
        <x:v>mmol/L</x:v>
      </x:c>
      <x:c r="J17" s="22" t="str">
        <x:v>IV-fluid-related</x:v>
      </x:c>
      <x:c r="K17" s="22" t="str">
        <x:v>Yes</x:v>
      </x:c>
      <x:c r="L17" s="22" t="str">
        <x:v>No</x:v>
      </x:c>
      <x:c r="M17" s="22" t="n">
        <x:v>4.04</x:v>
      </x:c>
      <x:c r="N17" s="22" t="str">
        <x:v>None</x:v>
      </x:c>
      <x:c r="O17" s="22" t="str">
        <x:v>No</x:v>
      </x:c>
      <x:c r="P17" s="22" t="str">
        <x:v>No</x:v>
      </x:c>
      <x:c r="Q17" s="22" t="str">
        <x:v>Not applicable</x:v>
      </x:c>
      <x:c r="R17" s="22" t="str">
        <x:v>Not applicable</x:v>
      </x:c>
      <x:c r="S17" s="22" t="str">
        <x:v>No</x:v>
      </x:c>
      <x:c r="T17" s="22" t="str">
        <x:v>No</x:v>
      </x:c>
      <x:c r="U17" s="22" t="str">
        <x:v>No</x:v>
      </x:c>
      <x:c r="V17" s="22" t="str">
        <x:v>constipation, weakness</x:v>
      </x:c>
      <x:c r="W17" s="22" t="str">
        <x:v>No</x:v>
      </x:c>
      <x:c r="X17" s="22" t="str">
        <x:v>Euvolaemic</x:v>
      </x:c>
      <x:c r="Y17" s="22" t="n">
        <x:v>104.7</x:v>
      </x:c>
      <x:c r="Z17" s="22" t="str">
        <x:v>NICE-UNSUPPORTED-001</x:v>
      </x:c>
      <x:c r="AA17" s="22" t="str">
        <x:v>No definitive NICE-only management</x:v>
      </x:c>
      <x:c r="AB17" s="22" t="str">
        <x:v>Clinical review required</x:v>
      </x:c>
      <x:c r="AC17" s="22" t="str">
        <x:v>No definitive NICE-only management output</x:v>
      </x:c>
      <x:c r="AD17" s="22" t="str">
        <x:v>Do not generate treatment instructions. Display that an approved local protocol or specialist review is required.</x:v>
      </x:c>
      <x:c r="AE17" s="22" t="str">
        <x:v>This is a safety rule, not a treatment recommendation.</x:v>
      </x:c>
      <x:c r="AF17" s="22" t="str"/>
      <x:c r="AG17" s="22" t="str"/>
      <x:c r="AH17" s="22" t="str">
        <x:v>Hypokalaemia adult IV-fluid-related guideline systematic review clinical review</x:v>
      </x:c>
      <x:c r="AI17" s="22" t="str">
        <x:v>validation</x:v>
      </x:c>
      <x:c r="AJ17" s="22" t="str">
        <x:v>Yes</x:v>
      </x:c>
      <x:c r="AK17" s="22" t="str">
        <x:v>Pending</x:v>
      </x:c>
    </x:row>
    <x:row r="18">
      <x:c r="A18" t="str">
        <x:v>CASE-0147</x:v>
      </x:c>
      <x:c r="B18" s="22" t="str">
        <x:v>62-year-old male with hypernatraemia. Sodium is 160.6 mmol/L; baseline is 134.9 mmol/L. Context: IV-fluid-related. Symptoms: confusion, weakness. IV fluids: Yes; CKD stage: None; heart failure: No; AKI: No; dialysis: No; eGFR: 92.0 mL/min/1.73m².</x:v>
      </x:c>
      <x:c r="C18" t="n">
        <x:v>62</x:v>
      </x:c>
      <x:c r="D18" t="str">
        <x:v>Male</x:v>
      </x:c>
      <x:c r="E18" t="str">
        <x:v>Not applicable</x:v>
      </x:c>
      <x:c r="F18" t="str">
        <x:v>Sodium</x:v>
      </x:c>
      <x:c r="G18" t="str">
        <x:v>Hypernatraemia</x:v>
      </x:c>
      <x:c r="H18" t="n">
        <x:v>160.6</x:v>
      </x:c>
      <x:c r="I18" t="str">
        <x:v>mmol/L</x:v>
      </x:c>
      <x:c r="J18" s="22" t="str">
        <x:v>IV-fluid-related</x:v>
      </x:c>
      <x:c r="K18" s="22" t="str">
        <x:v>Yes</x:v>
      </x:c>
      <x:c r="L18" s="22" t="str">
        <x:v>Yes</x:v>
      </x:c>
      <x:c r="M18" s="22" t="n">
        <x:v>134.9</x:v>
      </x:c>
      <x:c r="N18" s="22" t="str">
        <x:v>None</x:v>
      </x:c>
      <x:c r="O18" s="22" t="str">
        <x:v>No</x:v>
      </x:c>
      <x:c r="P18" s="22" t="str">
        <x:v>No</x:v>
      </x:c>
      <x:c r="Q18" s="22" t="str">
        <x:v>Not applicable</x:v>
      </x:c>
      <x:c r="R18" s="22" t="str">
        <x:v>Not applicable</x:v>
      </x:c>
      <x:c r="S18" s="22" t="str">
        <x:v>No</x:v>
      </x:c>
      <x:c r="T18" s="22" t="str">
        <x:v>No</x:v>
      </x:c>
      <x:c r="U18" s="22" t="str">
        <x:v>No</x:v>
      </x:c>
      <x:c r="V18" s="22" t="str">
        <x:v>confusion, weakness</x:v>
      </x:c>
      <x:c r="W18" s="22" t="str">
        <x:v>No</x:v>
      </x:c>
      <x:c r="X18" s="22" t="str">
        <x:v>Euvolaemic</x:v>
      </x:c>
      <x:c r="Y18" s="22" t="n">
        <x:v>92</x:v>
      </x:c>
      <x:c r="Z18" s="22" t="str">
        <x:v>NICE-NA-HYPER-IV-001</x:v>
      </x:c>
      <x:c r="AA18" s="22" t="str">
        <x:v>NICE detection / reassessment / escalation</x:v>
      </x:c>
      <x:c r="AB18" s="22" t="str">
        <x:v>Urgent review</x:v>
      </x:c>
      <x:c r="AC18" s="22" t="str">
        <x:v>NICE detection, reassessment and escalation</x:v>
      </x:c>
      <x:c r="AD18" s="22" t="str">
        <x:v>Treat as possible IV-fluid mismanagement: reassess the fluid prescription and monitoring plan, and seek expert help for the imbalance.</x:v>
      </x:c>
      <x:c r="AE18" s="22" t="str">
        <x:v>No definitive sodium-correction regimen is provided by CG174.</x:v>
      </x:c>
      <x:c r="AF18" s="22" t="str">
        <x:v>NICE-CG174</x:v>
      </x:c>
      <x:c r="AG18" s="22" t="str">
        <x:v>1.2.4, 1.5.1, 1.5.2, Table 1</x:v>
      </x:c>
      <x:c r="AH18" s="22" t="str">
        <x:v>Hypernatraemia adult IV-fluid-related guideline systematic review clinical review</x:v>
      </x:c>
      <x:c r="AI18" s="22" t="str">
        <x:v>test</x:v>
      </x:c>
      <x:c r="AJ18" s="22" t="str">
        <x:v>Yes</x:v>
      </x:c>
      <x:c r="AK18" s="22" t="str">
        <x:v>Pending</x:v>
      </x:c>
    </x:row>
    <x:row r="19">
      <x:c r="A19" t="str">
        <x:v>CASE-0965</x:v>
      </x:c>
      <x:c r="B19" s="22" t="str">
        <x:v>81-year-old male with no detected magnesium abnormality. Magnesium is 0.88 mmol/L. General adult presentation.</x:v>
      </x:c>
      <x:c r="C19" t="n">
        <x:v>81</x:v>
      </x:c>
      <x:c r="D19" t="str">
        <x:v>Male</x:v>
      </x:c>
      <x:c r="E19" t="str">
        <x:v>Not applicable</x:v>
      </x:c>
      <x:c r="F19" t="str">
        <x:v>Magnesium</x:v>
      </x:c>
      <x:c r="G19" t="str">
        <x:v>No abnormality detected</x:v>
      </x:c>
      <x:c r="H19" t="n">
        <x:v>0.88</x:v>
      </x:c>
      <x:c r="I19" t="str">
        <x:v>mmol/L</x:v>
      </x:c>
      <x:c r="J19" s="22" t="str">
        <x:v>General adult presentation</x:v>
      </x:c>
      <x:c r="K19" s="22" t="str">
        <x:v>No</x:v>
      </x:c>
      <x:c r="L19" s="22" t="str">
        <x:v>No</x:v>
      </x:c>
      <x:c r="M19" s="22" t="n">
        <x:v>0.88</x:v>
      </x:c>
      <x:c r="N19" s="22" t="str">
        <x:v>None</x:v>
      </x:c>
      <x:c r="O19" s="22" t="str">
        <x:v>No</x:v>
      </x:c>
      <x:c r="P19" s="22" t="str">
        <x:v>No</x:v>
      </x:c>
      <x:c r="Q19" s="22" t="str">
        <x:v>Not applicable</x:v>
      </x:c>
      <x:c r="R19" s="22" t="str">
        <x:v>Not applicable</x:v>
      </x:c>
      <x:c r="S19" s="22" t="str">
        <x:v>No</x:v>
      </x:c>
      <x:c r="T19" s="22" t="str">
        <x:v>No</x:v>
      </x:c>
      <x:c r="U19" s="22" t="str">
        <x:v>No</x:v>
      </x:c>
      <x:c r="V19" s="22" t="str">
        <x:v>None reported</x:v>
      </x:c>
      <x:c r="W19" s="22" t="str">
        <x:v>No</x:v>
      </x:c>
      <x:c r="X19" s="22" t="str">
        <x:v>Euvolaemic</x:v>
      </x:c>
      <x:c r="Y19" s="22" t="n">
        <x:v>106.9</x:v>
      </x:c>
      <x:c r="Z19" s="22" t="str">
        <x:v>NICE-GLOBAL-ASSESS-001</x:v>
      </x:c>
      <x:c r="AA19" s="22" t="str">
        <x:v>General NICE assessment only</x:v>
      </x:c>
      <x:c r="AB19" s="22" t="str">
        <x:v>Routine review</x:v>
      </x:c>
      <x:c r="AC19" s="22" t="str">
        <x:v>No abnormality-specific management</x:v>
      </x:c>
      <x:c r="AD19" s="22" t="str">
        <x:v>No electrolyte abnormality is detected by the synthetic reference range; interpret the result with the full clinical picture.</x:v>
      </x:c>
      <x:c r="AE19" s="22" t="str">
        <x:v>Synthetic reference ranges are not NICE management thresholds.</x:v>
      </x:c>
      <x:c r="AF19" s="22" t="str">
        <x:v>NICE-CG174</x:v>
      </x:c>
      <x:c r="AG19" s="22" t="str">
        <x:v>1.1.1 and 1.2.2</x:v>
      </x:c>
      <x:c r="AH19" s="22" t="str">
        <x:v>Magnesium reference interval adult laboratory interpretation</x:v>
      </x:c>
      <x:c r="AI19" s="22" t="str">
        <x:v>test</x:v>
      </x:c>
      <x:c r="AJ19" s="22" t="str">
        <x:v>Yes</x:v>
      </x:c>
      <x:c r="AK19" s="22" t="str">
        <x:v>Pending</x:v>
      </x:c>
    </x:row>
    <x:row r="20">
      <x:c r="A20" t="str">
        <x:v>CASE-0895</x:v>
      </x:c>
      <x:c r="B20" s="22" t="str">
        <x:v>57-year-old female with no detected potassium abnormality. Potassium is 4.73 mmol/L. General adult presentation.</x:v>
      </x:c>
      <x:c r="C20" t="n">
        <x:v>57</x:v>
      </x:c>
      <x:c r="D20" t="str">
        <x:v>Female</x:v>
      </x:c>
      <x:c r="E20" t="str">
        <x:v>Not applicable</x:v>
      </x:c>
      <x:c r="F20" t="str">
        <x:v>Potassium</x:v>
      </x:c>
      <x:c r="G20" t="str">
        <x:v>No abnormality detected</x:v>
      </x:c>
      <x:c r="H20" t="n">
        <x:v>4.73</x:v>
      </x:c>
      <x:c r="I20" t="str">
        <x:v>mmol/L</x:v>
      </x:c>
      <x:c r="J20" s="22" t="str">
        <x:v>General adult presentation</x:v>
      </x:c>
      <x:c r="K20" s="22" t="str">
        <x:v>No</x:v>
      </x:c>
      <x:c r="L20" s="22" t="str">
        <x:v>No</x:v>
      </x:c>
      <x:c r="M20" s="22" t="n">
        <x:v>4.73</x:v>
      </x:c>
      <x:c r="N20" s="22" t="str">
        <x:v>None</x:v>
      </x:c>
      <x:c r="O20" s="22" t="str">
        <x:v>No</x:v>
      </x:c>
      <x:c r="P20" s="22" t="str">
        <x:v>No</x:v>
      </x:c>
      <x:c r="Q20" s="22" t="str">
        <x:v>Not applicable</x:v>
      </x:c>
      <x:c r="R20" s="22" t="str">
        <x:v>Not applicable</x:v>
      </x:c>
      <x:c r="S20" s="22" t="str">
        <x:v>No</x:v>
      </x:c>
      <x:c r="T20" s="22" t="str">
        <x:v>No</x:v>
      </x:c>
      <x:c r="U20" s="22" t="str">
        <x:v>No</x:v>
      </x:c>
      <x:c r="V20" s="22" t="str">
        <x:v>None reported</x:v>
      </x:c>
      <x:c r="W20" s="22" t="str">
        <x:v>No</x:v>
      </x:c>
      <x:c r="X20" s="22" t="str">
        <x:v>Euvolaemic</x:v>
      </x:c>
      <x:c r="Y20" s="22" t="n">
        <x:v>81.4</x:v>
      </x:c>
      <x:c r="Z20" s="22" t="str">
        <x:v>NICE-GLOBAL-ASSESS-001</x:v>
      </x:c>
      <x:c r="AA20" s="22" t="str">
        <x:v>General NICE assessment only</x:v>
      </x:c>
      <x:c r="AB20" s="22" t="str">
        <x:v>Routine review</x:v>
      </x:c>
      <x:c r="AC20" s="22" t="str">
        <x:v>No abnormality-specific management</x:v>
      </x:c>
      <x:c r="AD20" s="22" t="str">
        <x:v>No electrolyte abnormality is detected by the synthetic reference range; interpret the result with the full clinical picture.</x:v>
      </x:c>
      <x:c r="AE20" s="22" t="str">
        <x:v>Synthetic reference ranges are not NICE management thresholds.</x:v>
      </x:c>
      <x:c r="AF20" s="22" t="str">
        <x:v>NICE-CG174</x:v>
      </x:c>
      <x:c r="AG20" s="22" t="str">
        <x:v>1.1.1 and 1.2.2</x:v>
      </x:c>
      <x:c r="AH20" s="22" t="str">
        <x:v>Potassium reference interval adult laboratory interpretation</x:v>
      </x:c>
      <x:c r="AI20" s="22" t="str">
        <x:v>test</x:v>
      </x:c>
      <x:c r="AJ20" s="22" t="str">
        <x:v>Yes</x:v>
      </x:c>
      <x:c r="AK20" s="22" t="str">
        <x:v>Pending</x:v>
      </x:c>
    </x:row>
    <x:row r="21">
      <x:c r="A21" t="str">
        <x:v>CASE-0770</x:v>
      </x:c>
      <x:c r="B21" s="22" t="str">
        <x:v>18-year-old female with hypermagnesaemia. Magnesium is 2.24 mmol/L; baseline is 1.46 mmol/L. Context: General adult presentation. Symptoms: None reported. IV fluids: No; CKD stage: None; heart failure: No; AKI: No; dialysis: No; eGFR: 100.0 mL/min/1.73m².</x:v>
      </x:c>
      <x:c r="C21" t="n">
        <x:v>18</x:v>
      </x:c>
      <x:c r="D21" t="str">
        <x:v>Female</x:v>
      </x:c>
      <x:c r="E21" t="str">
        <x:v>Not pregnant</x:v>
      </x:c>
      <x:c r="F21" t="str">
        <x:v>Magnesium</x:v>
      </x:c>
      <x:c r="G21" t="str">
        <x:v>Hypermagnesaemia</x:v>
      </x:c>
      <x:c r="H21" t="n">
        <x:v>2.24</x:v>
      </x:c>
      <x:c r="I21" t="str">
        <x:v>mmol/L</x:v>
      </x:c>
      <x:c r="J21" s="22" t="str">
        <x:v>General adult presentation</x:v>
      </x:c>
      <x:c r="K21" s="22" t="str">
        <x:v>No</x:v>
      </x:c>
      <x:c r="L21" s="22" t="str">
        <x:v>No</x:v>
      </x:c>
      <x:c r="M21" s="22" t="n">
        <x:v>1.46</x:v>
      </x:c>
      <x:c r="N21" s="22" t="str">
        <x:v>None</x:v>
      </x:c>
      <x:c r="O21" s="22" t="str">
        <x:v>No</x:v>
      </x:c>
      <x:c r="P21" s="22" t="str">
        <x:v>No</x:v>
      </x:c>
      <x:c r="Q21" s="22" t="str">
        <x:v>Not applicable</x:v>
      </x:c>
      <x:c r="R21" s="22" t="str">
        <x:v>Not applicable</x:v>
      </x:c>
      <x:c r="S21" s="22" t="str">
        <x:v>No</x:v>
      </x:c>
      <x:c r="T21" s="22" t="str">
        <x:v>No</x:v>
      </x:c>
      <x:c r="U21" s="22" t="str">
        <x:v>No</x:v>
      </x:c>
      <x:c r="V21" s="22" t="str">
        <x:v>None reported</x:v>
      </x:c>
      <x:c r="W21" s="22" t="str">
        <x:v>No</x:v>
      </x:c>
      <x:c r="X21" s="22" t="str">
        <x:v>Uncertain</x:v>
      </x:c>
      <x:c r="Y21" s="22" t="n">
        <x:v>100</x:v>
      </x:c>
      <x:c r="Z21" s="22" t="str">
        <x:v>NICE-UNSUPPORTED-001</x:v>
      </x:c>
      <x:c r="AA21" s="22" t="str">
        <x:v>No definitive NICE-only management</x:v>
      </x:c>
      <x:c r="AB21" s="22" t="str">
        <x:v>Clinical review required</x:v>
      </x:c>
      <x:c r="AC21" s="22" t="str">
        <x:v>No definitive NICE-only management output</x:v>
      </x:c>
      <x:c r="AD21" s="22" t="str">
        <x:v>Do not generate treatment instructions. Display that an approved local protocol or specialist review is required.</x:v>
      </x:c>
      <x:c r="AE21" s="22" t="str">
        <x:v>This is a safety rule, not a treatment recommendation.</x:v>
      </x:c>
      <x:c r="AF21" s="22" t="str"/>
      <x:c r="AG21" s="22" t="str"/>
      <x:c r="AH21" s="22" t="str">
        <x:v>Hypermagnesaemia adult General adult presentation guideline systematic review clinical review</x:v>
      </x:c>
      <x:c r="AI21" s="22" t="str">
        <x:v>train</x:v>
      </x:c>
      <x:c r="AJ21" s="22" t="str">
        <x:v>Yes</x:v>
      </x:c>
      <x:c r="AK21" s="22" t="str">
        <x:v>Pending</x:v>
      </x:c>
    </x:row>
    <x:row r="22">
      <x:c r="A22" t="str">
        <x:v>CASE-0516</x:v>
      </x:c>
      <x:c r="B22" s="22" t="str">
        <x:v>78-year-old female with hypercalcaemia. Adjusted calcium is 3.11 mmol/L; baseline is 3.77 mmol/L. Context: Confirmed primary hyperparathyroidism. Symptoms: polyuria, confusion, thirst. IV fluids: No; CKD stage: None; heart failure: No; AKI: No; dialysis: No; eGFR: 56.6 mL/min/1.73m².</x:v>
      </x:c>
      <x:c r="C22" t="n">
        <x:v>78</x:v>
      </x:c>
      <x:c r="D22" t="str">
        <x:v>Female</x:v>
      </x:c>
      <x:c r="E22" t="str">
        <x:v>Not applicable</x:v>
      </x:c>
      <x:c r="F22" t="str">
        <x:v>Adjusted calcium</x:v>
      </x:c>
      <x:c r="G22" t="str">
        <x:v>Hypercalcaemia</x:v>
      </x:c>
      <x:c r="H22" t="n">
        <x:v>3.11</x:v>
      </x:c>
      <x:c r="I22" t="str">
        <x:v>mmol/L</x:v>
      </x:c>
      <x:c r="J22" s="22" t="str">
        <x:v>Confirmed primary hyperparathyroidism</x:v>
      </x:c>
      <x:c r="K22" s="22" t="str">
        <x:v>No</x:v>
      </x:c>
      <x:c r="L22" s="22" t="str">
        <x:v>No</x:v>
      </x:c>
      <x:c r="M22" s="22" t="n">
        <x:v>3.77</x:v>
      </x:c>
      <x:c r="N22" s="22" t="str">
        <x:v>None</x:v>
      </x:c>
      <x:c r="O22" s="22" t="str">
        <x:v>No</x:v>
      </x:c>
      <x:c r="P22" s="22" t="str">
        <x:v>No</x:v>
      </x:c>
      <x:c r="Q22" s="22" t="str">
        <x:v>Not applicable</x:v>
      </x:c>
      <x:c r="R22" s="22" t="str">
        <x:v>Not applicable</x:v>
      </x:c>
      <x:c r="S22" s="22" t="str">
        <x:v>No</x:v>
      </x:c>
      <x:c r="T22" s="22" t="str">
        <x:v>Yes</x:v>
      </x:c>
      <x:c r="U22" s="22" t="str">
        <x:v>No</x:v>
      </x:c>
      <x:c r="V22" s="22" t="str">
        <x:v>polyuria, confusion, thirst</x:v>
      </x:c>
      <x:c r="W22" s="22" t="str">
        <x:v>No</x:v>
      </x:c>
      <x:c r="X22" s="22" t="str">
        <x:v>Uncertain</x:v>
      </x:c>
      <x:c r="Y22" s="22" t="n">
        <x:v>56.6</x:v>
      </x:c>
      <x:c r="Z22" s="22" t="str">
        <x:v>NICE-CA-PHPT-REFER-001</x:v>
      </x:c>
      <x:c r="AA22" s="22" t="str">
        <x:v>Specific context-based NICE guidance</x:v>
      </x:c>
      <x:c r="AB22" s="22" t="str">
        <x:v>Specialist surgical referral</x:v>
      </x:c>
      <x:c r="AC22" s="22" t="str">
        <x:v>Specific NICE referral guidance</x:v>
      </x:c>
      <x:c r="AD22" s="22" t="str">
        <x:v>Refer to a surgeon with expertise in parathyroid surgery when one or more stated NICE criteria are present.</x:v>
      </x:c>
      <x:c r="AE22" s="22" t="str">
        <x:v>Applies only to confirmed primary hyperparathyroidism.</x:v>
      </x:c>
      <x:c r="AF22" s="22" t="str">
        <x:v>NICE-NG132</x:v>
      </x:c>
      <x:c r="AG22" s="22" t="str">
        <x:v>1.3.1 and 1.3.2</x:v>
      </x:c>
      <x:c r="AH22" s="22" t="str">
        <x:v>Hypercalcaemia adult Confirmed primary hyperparathyroidism guideline systematic review clinical review</x:v>
      </x:c>
      <x:c r="AI22" s="22" t="str">
        <x:v>train</x:v>
      </x:c>
      <x:c r="AJ22" s="22" t="str">
        <x:v>Yes</x:v>
      </x:c>
      <x:c r="AK22" s="22" t="str">
        <x:v>Pending</x:v>
      </x:c>
    </x:row>
    <x:row r="23">
      <x:c r="A23" t="str">
        <x:v>CASE-0330</x:v>
      </x:c>
      <x:c r="B23" s="22" t="str">
        <x:v>64-year-old male with hyperkalaemia. Potassium is 6.1 mmol/L; baseline is 5.74 mmol/L. Context: Persistent hyperkalaemia. Symptoms: weakness, palpitations. IV fluids: No; CKD stage: 3a; heart failure: Yes; AKI: No; dialysis: No; eGFR: 49.5 mL/min/1.73m².</x:v>
      </x:c>
      <x:c r="C23" t="n">
        <x:v>64</x:v>
      </x:c>
      <x:c r="D23" t="str">
        <x:v>Male</x:v>
      </x:c>
      <x:c r="E23" t="str">
        <x:v>Not applicable</x:v>
      </x:c>
      <x:c r="F23" t="str">
        <x:v>Potassium</x:v>
      </x:c>
      <x:c r="G23" t="str">
        <x:v>Hyperkalaemia</x:v>
      </x:c>
      <x:c r="H23" t="n">
        <x:v>6.1</x:v>
      </x:c>
      <x:c r="I23" t="str">
        <x:v>mmol/L</x:v>
      </x:c>
      <x:c r="J23" s="22" t="str">
        <x:v>Persistent hyperkalaemia</x:v>
      </x:c>
      <x:c r="K23" s="22" t="str">
        <x:v>No</x:v>
      </x:c>
      <x:c r="L23" s="22" t="str">
        <x:v>No</x:v>
      </x:c>
      <x:c r="M23" s="22" t="n">
        <x:v>5.74</x:v>
      </x:c>
      <x:c r="N23" s="22" t="str">
        <x:v>3a</x:v>
      </x:c>
      <x:c r="O23" s="22" t="str">
        <x:v>Yes</x:v>
      </x:c>
      <x:c r="P23" s="22" t="str">
        <x:v>No</x:v>
      </x:c>
      <x:c r="Q23" s="22" t="str">
        <x:v>Reduced because of hyperkalaemia</x:v>
      </x:c>
      <x:c r="R23" s="22" t="str">
        <x:v>Not applicable</x:v>
      </x:c>
      <x:c r="S23" s="22" t="str">
        <x:v>No</x:v>
      </x:c>
      <x:c r="T23" s="22" t="str">
        <x:v>No</x:v>
      </x:c>
      <x:c r="U23" s="22" t="str">
        <x:v>No</x:v>
      </x:c>
      <x:c r="V23" s="22" t="str">
        <x:v>weakness, palpitations</x:v>
      </x:c>
      <x:c r="W23" s="22" t="str">
        <x:v>No</x:v>
      </x:c>
      <x:c r="X23" s="22" t="str">
        <x:v>Hypervolaemic</x:v>
      </x:c>
      <x:c r="Y23" s="22" t="n">
        <x:v>49.5</x:v>
      </x:c>
      <x:c r="Z23" s="22" t="str">
        <x:v>NICE-K-PATIROMER-ELIG-001</x:v>
      </x:c>
      <x:c r="AA23" s="22" t="str">
        <x:v>Specific NICE medicine eligibility</x:v>
      </x:c>
      <x:c r="AB23" s="22" t="str">
        <x:v>Specialist treatment consideration</x:v>
      </x:c>
      <x:c r="AC23" s="22" t="str">
        <x:v>NICE medicine eligibility flag</x:v>
      </x:c>
      <x:c r="AD23" s="22" t="str">
        <x:v>Flag that patiromer is a NICE option if all stated eligibility conditions are confirmed.</x:v>
      </x:c>
      <x:c r="AE23" s="22" t="str">
        <x:v>Does not select a dose or replace standard emergency care.</x:v>
      </x:c>
      <x:c r="AF23" s="22" t="str">
        <x:v>NICE-TA623</x:v>
      </x:c>
      <x:c r="AG23" s="22" t="str">
        <x:v>1.1 and 1.2</x:v>
      </x:c>
      <x:c r="AH23" s="22" t="str">
        <x:v>Hyperkalaemia adult Persistent hyperkalaemia guideline systematic review clinical review</x:v>
      </x:c>
      <x:c r="AI23" s="22" t="str">
        <x:v>train</x:v>
      </x:c>
      <x:c r="AJ23" s="22" t="str">
        <x:v>Yes</x:v>
      </x:c>
      <x:c r="AK23" s="22" t="str">
        <x:v>Pending</x:v>
      </x:c>
    </x:row>
    <x:row r="24">
      <x:c r="A24" t="str">
        <x:v>CASE-0202</x:v>
      </x:c>
      <x:c r="B24" s="22" t="str">
        <x:v>21-year-old male with hypokalaemia. Potassium is 2.62 mmol/L; baseline is 3.99 mmol/L. Context: IV-fluid-related. Symptoms: muscle cramps, palpitations. IV fluids: Yes; CKD stage: None; heart failure: No; AKI: No; dialysis: No; eGFR: 86.4 mL/min/1.73m².</x:v>
      </x:c>
      <x:c r="C24" t="n">
        <x:v>21</x:v>
      </x:c>
      <x:c r="D24" t="str">
        <x:v>Male</x:v>
      </x:c>
      <x:c r="E24" t="str">
        <x:v>Not applicable</x:v>
      </x:c>
      <x:c r="F24" t="str">
        <x:v>Potassium</x:v>
      </x:c>
      <x:c r="G24" t="str">
        <x:v>Hypokalaemia</x:v>
      </x:c>
      <x:c r="H24" t="n">
        <x:v>2.62</x:v>
      </x:c>
      <x:c r="I24" t="str">
        <x:v>mmol/L</x:v>
      </x:c>
      <x:c r="J24" s="22" t="str">
        <x:v>IV-fluid-related</x:v>
      </x:c>
      <x:c r="K24" s="22" t="str">
        <x:v>Yes</x:v>
      </x:c>
      <x:c r="L24" s="22" t="str">
        <x:v>No</x:v>
      </x:c>
      <x:c r="M24" s="22" t="n">
        <x:v>3.99</x:v>
      </x:c>
      <x:c r="N24" s="22" t="str">
        <x:v>None</x:v>
      </x:c>
      <x:c r="O24" s="22" t="str">
        <x:v>No</x:v>
      </x:c>
      <x:c r="P24" s="22" t="str">
        <x:v>No</x:v>
      </x:c>
      <x:c r="Q24" s="22" t="str">
        <x:v>Not applicable</x:v>
      </x:c>
      <x:c r="R24" s="22" t="str">
        <x:v>Not applicable</x:v>
      </x:c>
      <x:c r="S24" s="22" t="str">
        <x:v>No</x:v>
      </x:c>
      <x:c r="T24" s="22" t="str">
        <x:v>No</x:v>
      </x:c>
      <x:c r="U24" s="22" t="str">
        <x:v>No</x:v>
      </x:c>
      <x:c r="V24" s="22" t="str">
        <x:v>muscle cramps, palpitations</x:v>
      </x:c>
      <x:c r="W24" s="22" t="str">
        <x:v>No</x:v>
      </x:c>
      <x:c r="X24" s="22" t="str">
        <x:v>Uncertain</x:v>
      </x:c>
      <x:c r="Y24" s="22" t="n">
        <x:v>86.4</x:v>
      </x:c>
      <x:c r="Z24" s="22" t="str">
        <x:v>NICE-K-HYPO-IV-001</x:v>
      </x:c>
      <x:c r="AA24" s="22" t="str">
        <x:v>NICE detection / reassessment / escalation</x:v>
      </x:c>
      <x:c r="AB24" s="22" t="str">
        <x:v>Urgent review</x:v>
      </x:c>
      <x:c r="AC24" s="22" t="str">
        <x:v>NICE detection and IV-plan reassessment</x:v>
      </x:c>
      <x:c r="AD24" s="22" t="str">
        <x:v>Treat as possible IV-fluid mismanagement: reassess the IV-fluid and electrolyte prescription and increase monitoring as clinically required.</x:v>
      </x:c>
      <x:c r="AE24" s="22" t="str">
        <x:v>No replacement dose is generated.</x:v>
      </x:c>
      <x:c r="AF24" s="22" t="str">
        <x:v>NICE-CG174</x:v>
      </x:c>
      <x:c r="AG24" s="22" t="str">
        <x:v>1.2.4, 1.4.1, 1.4.4, 1.5.1, Table 1</x:v>
      </x:c>
      <x:c r="AH24" s="22" t="str">
        <x:v>Hypokalaemia adult IV-fluid-related guideline systematic review clinical review</x:v>
      </x:c>
      <x:c r="AI24" s="22" t="str">
        <x:v>train</x:v>
      </x:c>
      <x:c r="AJ24" s="22" t="str">
        <x:v>Yes</x:v>
      </x:c>
      <x:c r="AK24" s="22" t="str">
        <x:v>Pending</x:v>
      </x:c>
    </x:row>
    <x:row r="25">
      <x:c r="A25" t="str">
        <x:v>CASE-0001</x:v>
      </x:c>
      <x:c r="B25" s="22" t="str">
        <x:v>36-year-old male with hyponatraemia. Sodium is 123.1 mmol/L; baseline is 128.9 mmol/L. Context: General adult presentation. Symptoms: nausea, seizure, confusion. IV fluids: No; CKD stage: None; heart failure: No; AKI: No; dialysis: No; eGFR: 43.8 mL/min/1.73m².</x:v>
      </x:c>
      <x:c r="C25" t="n">
        <x:v>36</x:v>
      </x:c>
      <x:c r="D25" t="str">
        <x:v>Male</x:v>
      </x:c>
      <x:c r="E25" t="str">
        <x:v>Not applicable</x:v>
      </x:c>
      <x:c r="F25" t="str">
        <x:v>Sodium</x:v>
      </x:c>
      <x:c r="G25" t="str">
        <x:v>Hyponatraemia</x:v>
      </x:c>
      <x:c r="H25" t="n">
        <x:v>123.1</x:v>
      </x:c>
      <x:c r="I25" t="str">
        <x:v>mmol/L</x:v>
      </x:c>
      <x:c r="J25" s="22" t="str">
        <x:v>General adult presentation</x:v>
      </x:c>
      <x:c r="K25" s="22" t="str">
        <x:v>No</x:v>
      </x:c>
      <x:c r="L25" s="22" t="str">
        <x:v>No</x:v>
      </x:c>
      <x:c r="M25" s="22" t="n">
        <x:v>128.9</x:v>
      </x:c>
      <x:c r="N25" s="22" t="str">
        <x:v>None</x:v>
      </x:c>
      <x:c r="O25" s="22" t="str">
        <x:v>No</x:v>
      </x:c>
      <x:c r="P25" s="22" t="str">
        <x:v>No</x:v>
      </x:c>
      <x:c r="Q25" s="22" t="str">
        <x:v>Not applicable</x:v>
      </x:c>
      <x:c r="R25" s="22" t="str">
        <x:v>Not applicable</x:v>
      </x:c>
      <x:c r="S25" s="22" t="str">
        <x:v>No</x:v>
      </x:c>
      <x:c r="T25" s="22" t="str">
        <x:v>No</x:v>
      </x:c>
      <x:c r="U25" s="22" t="str">
        <x:v>No</x:v>
      </x:c>
      <x:c r="V25" s="22" t="str">
        <x:v>nausea, seizure, confusion</x:v>
      </x:c>
      <x:c r="W25" s="22" t="str">
        <x:v>No</x:v>
      </x:c>
      <x:c r="X25" s="22" t="str">
        <x:v>Uncertain</x:v>
      </x:c>
      <x:c r="Y25" s="22" t="n">
        <x:v>43.8</x:v>
      </x:c>
      <x:c r="Z25" s="22" t="str">
        <x:v>NICE-UNSUPPORTED-001</x:v>
      </x:c>
      <x:c r="AA25" s="22" t="str">
        <x:v>No definitive NICE-only management</x:v>
      </x:c>
      <x:c r="AB25" s="22" t="str">
        <x:v>Clinical review required</x:v>
      </x:c>
      <x:c r="AC25" s="22" t="str">
        <x:v>No definitive NICE-only management output</x:v>
      </x:c>
      <x:c r="AD25" s="22" t="str">
        <x:v>Do not generate treatment instructions. Display that an approved local protocol or specialist review is required.</x:v>
      </x:c>
      <x:c r="AE25" s="22" t="str">
        <x:v>This is a safety rule, not a treatment recommendation.</x:v>
      </x:c>
      <x:c r="AF25" s="22" t="str"/>
      <x:c r="AG25" s="22" t="str"/>
      <x:c r="AH25" s="22" t="str">
        <x:v>Hyponatraemia adult General adult presentation guideline systematic review clinical review</x:v>
      </x:c>
      <x:c r="AI25" s="22" t="str">
        <x:v>train</x:v>
      </x:c>
      <x:c r="AJ25" s="22" t="str">
        <x:v>Yes</x:v>
      </x:c>
      <x:c r="AK25" s="22" t="str">
        <x:v>Pending</x:v>
      </x:c>
    </x:row>
    <x:row r="26">
      <x:c r="A26" t="str">
        <x:v>CASE-0163</x:v>
      </x:c>
      <x:c r="B26" s="22" t="str">
        <x:v>23-year-old male with hypernatraemia. Sodium is 166.8 mmol/L; baseline is 139.0 mmol/L. Context: IV-fluid-related. Symptoms: confusion. IV fluids: Yes; CKD stage: None; heart failure: No; AKI: No; dialysis: No; eGFR: 52.9 mL/min/1.73m².</x:v>
      </x:c>
      <x:c r="C26" t="n">
        <x:v>23</x:v>
      </x:c>
      <x:c r="D26" t="str">
        <x:v>Male</x:v>
      </x:c>
      <x:c r="E26" t="str">
        <x:v>Not applicable</x:v>
      </x:c>
      <x:c r="F26" t="str">
        <x:v>Sodium</x:v>
      </x:c>
      <x:c r="G26" t="str">
        <x:v>Hypernatraemia</x:v>
      </x:c>
      <x:c r="H26" t="n">
        <x:v>166.8</x:v>
      </x:c>
      <x:c r="I26" t="str">
        <x:v>mmol/L</x:v>
      </x:c>
      <x:c r="J26" s="22" t="str">
        <x:v>IV-fluid-related</x:v>
      </x:c>
      <x:c r="K26" s="22" t="str">
        <x:v>Yes</x:v>
      </x:c>
      <x:c r="L26" s="22" t="str">
        <x:v>Yes</x:v>
      </x:c>
      <x:c r="M26" s="22" t="n">
        <x:v>139</x:v>
      </x:c>
      <x:c r="N26" s="22" t="str">
        <x:v>None</x:v>
      </x:c>
      <x:c r="O26" s="22" t="str">
        <x:v>No</x:v>
      </x:c>
      <x:c r="P26" s="22" t="str">
        <x:v>No</x:v>
      </x:c>
      <x:c r="Q26" s="22" t="str">
        <x:v>Not applicable</x:v>
      </x:c>
      <x:c r="R26" s="22" t="str">
        <x:v>Not applicable</x:v>
      </x:c>
      <x:c r="S26" s="22" t="str">
        <x:v>No</x:v>
      </x:c>
      <x:c r="T26" s="22" t="str">
        <x:v>No</x:v>
      </x:c>
      <x:c r="U26" s="22" t="str">
        <x:v>No</x:v>
      </x:c>
      <x:c r="V26" s="22" t="str">
        <x:v>confusion</x:v>
      </x:c>
      <x:c r="W26" s="22" t="str">
        <x:v>No</x:v>
      </x:c>
      <x:c r="X26" s="22" t="str">
        <x:v>Uncertain</x:v>
      </x:c>
      <x:c r="Y26" s="22" t="n">
        <x:v>52.9</x:v>
      </x:c>
      <x:c r="Z26" s="22" t="str">
        <x:v>NICE-NA-HYPER-IV-001</x:v>
      </x:c>
      <x:c r="AA26" s="22" t="str">
        <x:v>NICE detection / reassessment / escalation</x:v>
      </x:c>
      <x:c r="AB26" s="22" t="str">
        <x:v>Urgent review</x:v>
      </x:c>
      <x:c r="AC26" s="22" t="str">
        <x:v>NICE detection, reassessment and escalation</x:v>
      </x:c>
      <x:c r="AD26" s="22" t="str">
        <x:v>Treat as possible IV-fluid mismanagement: reassess the fluid prescription and monitoring plan, and seek expert help for the imbalance.</x:v>
      </x:c>
      <x:c r="AE26" s="22" t="str">
        <x:v>No definitive sodium-correction regimen is provided by CG174.</x:v>
      </x:c>
      <x:c r="AF26" s="22" t="str">
        <x:v>NICE-CG174</x:v>
      </x:c>
      <x:c r="AG26" s="22" t="str">
        <x:v>1.2.4, 1.5.1, 1.5.2, Table 1</x:v>
      </x:c>
      <x:c r="AH26" s="22" t="str">
        <x:v>Hypernatraemia adult IV-fluid-related guideline systematic review clinical review</x:v>
      </x:c>
      <x:c r="AI26" s="22" t="str">
        <x:v>train</x:v>
      </x:c>
      <x:c r="AJ26" s="22" t="str">
        <x:v>Yes</x:v>
      </x:c>
      <x:c r="AK26" s="22" t="str">
        <x:v>Pending</x:v>
      </x:c>
    </x:row>
    <x:row r="27">
      <x:c r="A27" t="str">
        <x:v>CASE-0745</x:v>
      </x:c>
      <x:c r="B27" s="22" t="str">
        <x:v>23-year-old female with hypermagnesaemia. Magnesium is 4.15 mmol/L; baseline is 1.91 mmol/L. Context: General adult presentation. Symptoms: confusion. IV fluids: No; CKD stage: None; heart failure: No; AKI: No; dialysis: No; eGFR: 58.5 mL/min/1.73m².</x:v>
      </x:c>
      <x:c r="C27" t="n">
        <x:v>23</x:v>
      </x:c>
      <x:c r="D27" t="str">
        <x:v>Female</x:v>
      </x:c>
      <x:c r="E27" t="str">
        <x:v>Not pregnant</x:v>
      </x:c>
      <x:c r="F27" t="str">
        <x:v>Magnesium</x:v>
      </x:c>
      <x:c r="G27" t="str">
        <x:v>Hypermagnesaemia</x:v>
      </x:c>
      <x:c r="H27" t="n">
        <x:v>4.15</x:v>
      </x:c>
      <x:c r="I27" t="str">
        <x:v>mmol/L</x:v>
      </x:c>
      <x:c r="J27" s="22" t="str">
        <x:v>General adult presentation</x:v>
      </x:c>
      <x:c r="K27" s="22" t="str">
        <x:v>No</x:v>
      </x:c>
      <x:c r="L27" s="22" t="str">
        <x:v>No</x:v>
      </x:c>
      <x:c r="M27" s="22" t="n">
        <x:v>1.91</x:v>
      </x:c>
      <x:c r="N27" s="22" t="str">
        <x:v>None</x:v>
      </x:c>
      <x:c r="O27" s="22" t="str">
        <x:v>No</x:v>
      </x:c>
      <x:c r="P27" s="22" t="str">
        <x:v>No</x:v>
      </x:c>
      <x:c r="Q27" s="22" t="str">
        <x:v>Not applicable</x:v>
      </x:c>
      <x:c r="R27" s="22" t="str">
        <x:v>Not applicable</x:v>
      </x:c>
      <x:c r="S27" s="22" t="str">
        <x:v>No</x:v>
      </x:c>
      <x:c r="T27" s="22" t="str">
        <x:v>No</x:v>
      </x:c>
      <x:c r="U27" s="22" t="str">
        <x:v>No</x:v>
      </x:c>
      <x:c r="V27" s="22" t="str">
        <x:v>confusion</x:v>
      </x:c>
      <x:c r="W27" s="22" t="str">
        <x:v>No</x:v>
      </x:c>
      <x:c r="X27" s="22" t="str">
        <x:v>Hypovolaemic</x:v>
      </x:c>
      <x:c r="Y27" s="22" t="n">
        <x:v>58.5</x:v>
      </x:c>
      <x:c r="Z27" s="22" t="str">
        <x:v>NICE-UNSUPPORTED-001</x:v>
      </x:c>
      <x:c r="AA27" s="22" t="str">
        <x:v>No definitive NICE-only management</x:v>
      </x:c>
      <x:c r="AB27" s="22" t="str">
        <x:v>Clinical review required</x:v>
      </x:c>
      <x:c r="AC27" s="22" t="str">
        <x:v>No definitive NICE-only management output</x:v>
      </x:c>
      <x:c r="AD27" s="22" t="str">
        <x:v>Do not generate treatment instructions. Display that an approved local protocol or specialist review is required.</x:v>
      </x:c>
      <x:c r="AE27" s="22" t="str">
        <x:v>This is a safety rule, not a treatment recommendation.</x:v>
      </x:c>
      <x:c r="AF27" s="22" t="str"/>
      <x:c r="AG27" s="22" t="str"/>
      <x:c r="AH27" s="22" t="str">
        <x:v>Hypermagnesaemia adult General adult presentation guideline systematic review clinical review</x:v>
      </x:c>
      <x:c r="AI27" s="22" t="str">
        <x:v>train</x:v>
      </x:c>
      <x:c r="AJ27" s="22" t="str">
        <x:v>Yes</x:v>
      </x:c>
      <x:c r="AK27" s="22" t="str">
        <x:v>Pending</x:v>
      </x:c>
    </x:row>
    <x:row r="28">
      <x:c r="A28" t="str">
        <x:v>CASE-0439</x:v>
      </x:c>
      <x:c r="B28" s="22" t="str">
        <x:v>59-year-old male with hypocalcaemia. Adjusted calcium is 2.11 mmol/L; baseline is 1.87 mmol/L. Context: General adult presentation. Symptoms: seizure. IV fluids: No; CKD stage: None; heart failure: No; AKI: No; dialysis: No; eGFR: 87.7 mL/min/1.73m².</x:v>
      </x:c>
      <x:c r="C28" t="n">
        <x:v>59</x:v>
      </x:c>
      <x:c r="D28" t="str">
        <x:v>Male</x:v>
      </x:c>
      <x:c r="E28" t="str">
        <x:v>Not applicable</x:v>
      </x:c>
      <x:c r="F28" t="str">
        <x:v>Adjusted calcium</x:v>
      </x:c>
      <x:c r="G28" t="str">
        <x:v>Hypocalcaemia</x:v>
      </x:c>
      <x:c r="H28" t="n">
        <x:v>2.11</x:v>
      </x:c>
      <x:c r="I28" t="str">
        <x:v>mmol/L</x:v>
      </x:c>
      <x:c r="J28" s="22" t="str">
        <x:v>General adult presentation</x:v>
      </x:c>
      <x:c r="K28" s="22" t="str">
        <x:v>No</x:v>
      </x:c>
      <x:c r="L28" s="22" t="str">
        <x:v>No</x:v>
      </x:c>
      <x:c r="M28" s="22" t="n">
        <x:v>1.87</x:v>
      </x:c>
      <x:c r="N28" s="22" t="str">
        <x:v>None</x:v>
      </x:c>
      <x:c r="O28" s="22" t="str">
        <x:v>No</x:v>
      </x:c>
      <x:c r="P28" s="22" t="str">
        <x:v>No</x:v>
      </x:c>
      <x:c r="Q28" s="22" t="str">
        <x:v>Not applicable</x:v>
      </x:c>
      <x:c r="R28" s="22" t="str">
        <x:v>Not applicable</x:v>
      </x:c>
      <x:c r="S28" s="22" t="str">
        <x:v>No</x:v>
      </x:c>
      <x:c r="T28" s="22" t="str">
        <x:v>No</x:v>
      </x:c>
      <x:c r="U28" s="22" t="str">
        <x:v>No</x:v>
      </x:c>
      <x:c r="V28" s="22" t="str">
        <x:v>seizure</x:v>
      </x:c>
      <x:c r="W28" s="22" t="str">
        <x:v>No</x:v>
      </x:c>
      <x:c r="X28" s="22" t="str">
        <x:v>Uncertain</x:v>
      </x:c>
      <x:c r="Y28" s="22" t="n">
        <x:v>87.7</x:v>
      </x:c>
      <x:c r="Z28" s="22" t="str">
        <x:v>NICE-UNSUPPORTED-001</x:v>
      </x:c>
      <x:c r="AA28" s="22" t="str">
        <x:v>No definitive NICE-only management</x:v>
      </x:c>
      <x:c r="AB28" s="22" t="str">
        <x:v>Clinical review required</x:v>
      </x:c>
      <x:c r="AC28" s="22" t="str">
        <x:v>No definitive NICE-only management output</x:v>
      </x:c>
      <x:c r="AD28" s="22" t="str">
        <x:v>Do not generate treatment instructions. Display that an approved local protocol or specialist review is required.</x:v>
      </x:c>
      <x:c r="AE28" s="22" t="str">
        <x:v>This is a safety rule, not a treatment recommendation.</x:v>
      </x:c>
      <x:c r="AF28" s="22" t="str"/>
      <x:c r="AG28" s="22" t="str"/>
      <x:c r="AH28" s="22" t="str">
        <x:v>Hypocalcaemia adult General adult presentation guideline systematic review clinical review</x:v>
      </x:c>
      <x:c r="AI28" s="22" t="str">
        <x:v>train</x:v>
      </x:c>
      <x:c r="AJ28" s="22" t="str">
        <x:v>Yes</x:v>
      </x:c>
      <x:c r="AK28" s="22" t="str">
        <x:v>Pending</x:v>
      </x:c>
    </x:row>
    <x:row r="29">
      <x:c r="A29" t="str">
        <x:v>CASE-0514</x:v>
      </x:c>
      <x:c r="B29" s="22" t="str">
        <x:v>37-year-old female with hypercalcaemia. Adjusted calcium is 2.97 mmol/L; baseline is 3.34 mmol/L. Context: Possible primary hyperparathyroidism. Symptoms: polyuria. IV fluids: No; CKD stage: None; heart failure: No; AKI: No; dialysis: No; eGFR: 59.5 mL/min/1.73m².</x:v>
      </x:c>
      <x:c r="C29" t="n">
        <x:v>37</x:v>
      </x:c>
      <x:c r="D29" t="str">
        <x:v>Female</x:v>
      </x:c>
      <x:c r="E29" t="str">
        <x:v>Not pregnant</x:v>
      </x:c>
      <x:c r="F29" t="str">
        <x:v>Adjusted calcium</x:v>
      </x:c>
      <x:c r="G29" t="str">
        <x:v>Hypercalcaemia</x:v>
      </x:c>
      <x:c r="H29" t="n">
        <x:v>2.97</x:v>
      </x:c>
      <x:c r="I29" t="str">
        <x:v>mmol/L</x:v>
      </x:c>
      <x:c r="J29" s="22" t="str">
        <x:v>Possible primary hyperparathyroidism</x:v>
      </x:c>
      <x:c r="K29" s="22" t="str">
        <x:v>No</x:v>
      </x:c>
      <x:c r="L29" s="22" t="str">
        <x:v>No</x:v>
      </x:c>
      <x:c r="M29" s="22" t="n">
        <x:v>3.34</x:v>
      </x:c>
      <x:c r="N29" s="22" t="str">
        <x:v>None</x:v>
      </x:c>
      <x:c r="O29" s="22" t="str">
        <x:v>No</x:v>
      </x:c>
      <x:c r="P29" s="22" t="str">
        <x:v>No</x:v>
      </x:c>
      <x:c r="Q29" s="22" t="str">
        <x:v>Not applicable</x:v>
      </x:c>
      <x:c r="R29" s="22" t="str">
        <x:v>Not applicable</x:v>
      </x:c>
      <x:c r="S29" s="22" t="str">
        <x:v>No</x:v>
      </x:c>
      <x:c r="T29" s="22" t="str">
        <x:v>No</x:v>
      </x:c>
      <x:c r="U29" s="22" t="str">
        <x:v>No</x:v>
      </x:c>
      <x:c r="V29" s="22" t="str">
        <x:v>polyuria</x:v>
      </x:c>
      <x:c r="W29" s="22" t="str">
        <x:v>No</x:v>
      </x:c>
      <x:c r="X29" s="22" t="str">
        <x:v>Uncertain</x:v>
      </x:c>
      <x:c r="Y29" s="22" t="n">
        <x:v>59.5</x:v>
      </x:c>
      <x:c r="Z29" s="22" t="str">
        <x:v>NICE-CA-PHPT-SCREEN-001</x:v>
      </x:c>
      <x:c r="AA29" s="22" t="str">
        <x:v>Specific context-based NICE guidance</x:v>
      </x:c>
      <x:c r="AB29" s="22" t="str">
        <x:v>Diagnostic assessment</x:v>
      </x:c>
      <x:c r="AC29" s="22" t="str">
        <x:v>Specific NICE diagnostic guidance</x:v>
      </x:c>
      <x:c r="AD29" s="22" t="str">
        <x:v>Use albumin-adjusted serum calcium in the NICE diagnostic pathway for primary hyperparathyroidism.</x:v>
      </x:c>
      <x:c r="AE29" s="22" t="str">
        <x:v>Not an acute general hypercalcaemia pathway.</x:v>
      </x:c>
      <x:c r="AF29" s="22" t="str">
        <x:v>NICE-NG132</x:v>
      </x:c>
      <x:c r="AG29" s="22" t="str">
        <x:v>1.1.1 and Terms used</x:v>
      </x:c>
      <x:c r="AH29" s="22" t="str">
        <x:v>Hypercalcaemia adult Possible primary hyperparathyroidism guideline systematic review clinical review</x:v>
      </x:c>
      <x:c r="AI29" s="22" t="str">
        <x:v>train</x:v>
      </x:c>
      <x:c r="AJ29" s="22" t="str">
        <x:v>Yes</x:v>
      </x:c>
      <x:c r="AK29" s="22" t="str">
        <x:v>Pending</x:v>
      </x:c>
    </x:row>
    <x:row r="30">
      <x:c r="A30" t="str">
        <x:v>CASE-0952</x:v>
      </x:c>
      <x:c r="B30" s="22" t="str">
        <x:v>32-year-old male with no detected magnesium abnormality. Magnesium is 0.77 mmol/L. General adult presentation.</x:v>
      </x:c>
      <x:c r="C30" t="n">
        <x:v>32</x:v>
      </x:c>
      <x:c r="D30" t="str">
        <x:v>Male</x:v>
      </x:c>
      <x:c r="E30" t="str">
        <x:v>Not applicable</x:v>
      </x:c>
      <x:c r="F30" t="str">
        <x:v>Magnesium</x:v>
      </x:c>
      <x:c r="G30" t="str">
        <x:v>No abnormality detected</x:v>
      </x:c>
      <x:c r="H30" t="n">
        <x:v>0.77</x:v>
      </x:c>
      <x:c r="I30" t="str">
        <x:v>mmol/L</x:v>
      </x:c>
      <x:c r="J30" s="22" t="str">
        <x:v>General adult presentation</x:v>
      </x:c>
      <x:c r="K30" s="22" t="str">
        <x:v>No</x:v>
      </x:c>
      <x:c r="L30" s="22" t="str">
        <x:v>No</x:v>
      </x:c>
      <x:c r="M30" s="22" t="n">
        <x:v>0.77</x:v>
      </x:c>
      <x:c r="N30" s="22" t="str">
        <x:v>None</x:v>
      </x:c>
      <x:c r="O30" s="22" t="str">
        <x:v>No</x:v>
      </x:c>
      <x:c r="P30" s="22" t="str">
        <x:v>No</x:v>
      </x:c>
      <x:c r="Q30" s="22" t="str">
        <x:v>Not applicable</x:v>
      </x:c>
      <x:c r="R30" s="22" t="str">
        <x:v>Not applicable</x:v>
      </x:c>
      <x:c r="S30" s="22" t="str">
        <x:v>No</x:v>
      </x:c>
      <x:c r="T30" s="22" t="str">
        <x:v>No</x:v>
      </x:c>
      <x:c r="U30" s="22" t="str">
        <x:v>No</x:v>
      </x:c>
      <x:c r="V30" s="22" t="str">
        <x:v>None reported</x:v>
      </x:c>
      <x:c r="W30" s="22" t="str">
        <x:v>No</x:v>
      </x:c>
      <x:c r="X30" s="22" t="str">
        <x:v>Euvolaemic</x:v>
      </x:c>
      <x:c r="Y30" s="22" t="n">
        <x:v>112.2</x:v>
      </x:c>
      <x:c r="Z30" s="22" t="str">
        <x:v>NICE-GLOBAL-ASSESS-001</x:v>
      </x:c>
      <x:c r="AA30" s="22" t="str">
        <x:v>General NICE assessment only</x:v>
      </x:c>
      <x:c r="AB30" s="22" t="str">
        <x:v>Routine review</x:v>
      </x:c>
      <x:c r="AC30" s="22" t="str">
        <x:v>No abnormality-specific management</x:v>
      </x:c>
      <x:c r="AD30" s="22" t="str">
        <x:v>No electrolyte abnormality is detected by the synthetic reference range; interpret the result with the full clinical picture.</x:v>
      </x:c>
      <x:c r="AE30" s="22" t="str">
        <x:v>Synthetic reference ranges are not NICE management thresholds.</x:v>
      </x:c>
      <x:c r="AF30" s="22" t="str">
        <x:v>NICE-CG174</x:v>
      </x:c>
      <x:c r="AG30" s="22" t="str">
        <x:v>1.1.1 and 1.2.2</x:v>
      </x:c>
      <x:c r="AH30" s="22" t="str">
        <x:v>Magnesium reference interval adult laboratory interpretation</x:v>
      </x:c>
      <x:c r="AI30" s="22" t="str">
        <x:v>train</x:v>
      </x:c>
      <x:c r="AJ30" s="22" t="str">
        <x:v>Yes</x:v>
      </x:c>
      <x:c r="AK30" s="22" t="str">
        <x:v>Pending</x:v>
      </x:c>
    </x:row>
    <x:row r="31">
      <x:c r="A31" t="str">
        <x:v>CASE-0128</x:v>
      </x:c>
      <x:c r="B31" s="22" t="str">
        <x:v>45-year-old female with hypernatraemia. Sodium is 167.2 mmol/L; baseline is 144.3 mmol/L. Context: IV-fluid-related. Symptoms: weakness, thirst. IV fluids: Yes; CKD stage: None; heart failure: No; AKI: No; dialysis: No; eGFR: 34.6 mL/min/1.73m².</x:v>
      </x:c>
      <x:c r="C31" t="n">
        <x:v>45</x:v>
      </x:c>
      <x:c r="D31" t="str">
        <x:v>Female</x:v>
      </x:c>
      <x:c r="E31" t="str">
        <x:v>Not pregnant</x:v>
      </x:c>
      <x:c r="F31" t="str">
        <x:v>Sodium</x:v>
      </x:c>
      <x:c r="G31" t="str">
        <x:v>Hypernatraemia</x:v>
      </x:c>
      <x:c r="H31" t="n">
        <x:v>167.2</x:v>
      </x:c>
      <x:c r="I31" t="str">
        <x:v>mmol/L</x:v>
      </x:c>
      <x:c r="J31" s="22" t="str">
        <x:v>IV-fluid-related</x:v>
      </x:c>
      <x:c r="K31" s="22" t="str">
        <x:v>Yes</x:v>
      </x:c>
      <x:c r="L31" s="22" t="str">
        <x:v>Yes</x:v>
      </x:c>
      <x:c r="M31" s="22" t="n">
        <x:v>144.3</x:v>
      </x:c>
      <x:c r="N31" s="22" t="str">
        <x:v>None</x:v>
      </x:c>
      <x:c r="O31" s="22" t="str">
        <x:v>No</x:v>
      </x:c>
      <x:c r="P31" s="22" t="str">
        <x:v>No</x:v>
      </x:c>
      <x:c r="Q31" s="22" t="str">
        <x:v>Not applicable</x:v>
      </x:c>
      <x:c r="R31" s="22" t="str">
        <x:v>Not applicable</x:v>
      </x:c>
      <x:c r="S31" s="22" t="str">
        <x:v>No</x:v>
      </x:c>
      <x:c r="T31" s="22" t="str">
        <x:v>No</x:v>
      </x:c>
      <x:c r="U31" s="22" t="str">
        <x:v>No</x:v>
      </x:c>
      <x:c r="V31" s="22" t="str">
        <x:v>weakness, thirst</x:v>
      </x:c>
      <x:c r="W31" s="22" t="str">
        <x:v>No</x:v>
      </x:c>
      <x:c r="X31" s="22" t="str">
        <x:v>Euvolaemic</x:v>
      </x:c>
      <x:c r="Y31" s="22" t="n">
        <x:v>34.6</x:v>
      </x:c>
      <x:c r="Z31" s="22" t="str">
        <x:v>NICE-NA-HYPER-IV-001</x:v>
      </x:c>
      <x:c r="AA31" s="22" t="str">
        <x:v>NICE detection / reassessment / escalation</x:v>
      </x:c>
      <x:c r="AB31" s="22" t="str">
        <x:v>Urgent review</x:v>
      </x:c>
      <x:c r="AC31" s="22" t="str">
        <x:v>NICE detection, reassessment and escalation</x:v>
      </x:c>
      <x:c r="AD31" s="22" t="str">
        <x:v>Treat as possible IV-fluid mismanagement: reassess the fluid prescription and monitoring plan, and seek expert help for the imbalance.</x:v>
      </x:c>
      <x:c r="AE31" s="22" t="str">
        <x:v>No definitive sodium-correction regimen is provided by CG174.</x:v>
      </x:c>
      <x:c r="AF31" s="22" t="str">
        <x:v>NICE-CG174</x:v>
      </x:c>
      <x:c r="AG31" s="22" t="str">
        <x:v>1.2.4, 1.5.1, 1.5.2, Table 1</x:v>
      </x:c>
      <x:c r="AH31" s="22" t="str">
        <x:v>Hypernatraemia adult IV-fluid-related guideline systematic review clinical review</x:v>
      </x:c>
      <x:c r="AI31" s="22" t="str">
        <x:v>train</x:v>
      </x:c>
      <x:c r="AJ31" s="22" t="str">
        <x:v>Yes</x:v>
      </x:c>
      <x:c r="AK31" s="22" t="str">
        <x:v>Pending</x:v>
      </x:c>
    </x:row>
    <x:row r="32">
      <x:c r="A32" t="str">
        <x:v>CASE-0554</x:v>
      </x:c>
      <x:c r="B32" s="22" t="str">
        <x:v>67-year-old male with hypercalcaemia. Adjusted calcium is 3.2 mmol/L; baseline is 2.66 mmol/L. Context: Confirmed primary hyperparathyroidism. Symptoms: thirst, confusion. IV fluids: No; CKD stage: None; heart failure: No; AKI: No; dialysis: No; eGFR: 54.7 mL/min/1.73m².</x:v>
      </x:c>
      <x:c r="C32" t="n">
        <x:v>67</x:v>
      </x:c>
      <x:c r="D32" t="str">
        <x:v>Male</x:v>
      </x:c>
      <x:c r="E32" t="str">
        <x:v>Not applicable</x:v>
      </x:c>
      <x:c r="F32" t="str">
        <x:v>Adjusted calcium</x:v>
      </x:c>
      <x:c r="G32" t="str">
        <x:v>Hypercalcaemia</x:v>
      </x:c>
      <x:c r="H32" t="n">
        <x:v>3.2</x:v>
      </x:c>
      <x:c r="I32" t="str">
        <x:v>mmol/L</x:v>
      </x:c>
      <x:c r="J32" s="22" t="str">
        <x:v>Confirmed primary hyperparathyroidism</x:v>
      </x:c>
      <x:c r="K32" s="22" t="str">
        <x:v>No</x:v>
      </x:c>
      <x:c r="L32" s="22" t="str">
        <x:v>No</x:v>
      </x:c>
      <x:c r="M32" s="22" t="n">
        <x:v>2.66</x:v>
      </x:c>
      <x:c r="N32" s="22" t="str">
        <x:v>None</x:v>
      </x:c>
      <x:c r="O32" s="22" t="str">
        <x:v>No</x:v>
      </x:c>
      <x:c r="P32" s="22" t="str">
        <x:v>No</x:v>
      </x:c>
      <x:c r="Q32" s="22" t="str">
        <x:v>Not applicable</x:v>
      </x:c>
      <x:c r="R32" s="22" t="str">
        <x:v>Not applicable</x:v>
      </x:c>
      <x:c r="S32" s="22" t="str">
        <x:v>No</x:v>
      </x:c>
      <x:c r="T32" s="22" t="str">
        <x:v>Yes</x:v>
      </x:c>
      <x:c r="U32" s="22" t="str">
        <x:v>No</x:v>
      </x:c>
      <x:c r="V32" s="22" t="str">
        <x:v>thirst, confusion</x:v>
      </x:c>
      <x:c r="W32" s="22" t="str">
        <x:v>No</x:v>
      </x:c>
      <x:c r="X32" s="22" t="str">
        <x:v>Hypervolaemic</x:v>
      </x:c>
      <x:c r="Y32" s="22" t="n">
        <x:v>54.7</x:v>
      </x:c>
      <x:c r="Z32" s="22" t="str">
        <x:v>NICE-CA-PHPT-REFER-001</x:v>
      </x:c>
      <x:c r="AA32" s="22" t="str">
        <x:v>Specific context-based NICE guidance</x:v>
      </x:c>
      <x:c r="AB32" s="22" t="str">
        <x:v>Specialist surgical referral</x:v>
      </x:c>
      <x:c r="AC32" s="22" t="str">
        <x:v>Specific NICE referral guidance</x:v>
      </x:c>
      <x:c r="AD32" s="22" t="str">
        <x:v>Refer to a surgeon with expertise in parathyroid surgery when one or more stated NICE criteria are present.</x:v>
      </x:c>
      <x:c r="AE32" s="22" t="str">
        <x:v>Applies only to confirmed primary hyperparathyroidism.</x:v>
      </x:c>
      <x:c r="AF32" s="22" t="str">
        <x:v>NICE-NG132</x:v>
      </x:c>
      <x:c r="AG32" s="22" t="str">
        <x:v>1.3.1 and 1.3.2</x:v>
      </x:c>
      <x:c r="AH32" s="22" t="str">
        <x:v>Hypercalcaemia adult Confirmed primary hyperparathyroidism guideline systematic review clinical review</x:v>
      </x:c>
      <x:c r="AI32" s="22" t="str">
        <x:v>train</x:v>
      </x:c>
      <x:c r="AJ32" s="22" t="str">
        <x:v>Yes</x:v>
      </x:c>
      <x:c r="AK32" s="22" t="str">
        <x:v>Pending</x:v>
      </x:c>
    </x:row>
    <x:row r="33">
      <x:c r="A33" t="str">
        <x:v>CASE-0900</x:v>
      </x:c>
      <x:c r="B33" s="22" t="str">
        <x:v>52-year-old female with no detected potassium abnormality. Potassium is 3.91 mmol/L. General adult presentation.</x:v>
      </x:c>
      <x:c r="C33" t="n">
        <x:v>52</x:v>
      </x:c>
      <x:c r="D33" t="str">
        <x:v>Female</x:v>
      </x:c>
      <x:c r="E33" t="str">
        <x:v>Not applicable</x:v>
      </x:c>
      <x:c r="F33" t="str">
        <x:v>Potassium</x:v>
      </x:c>
      <x:c r="G33" t="str">
        <x:v>No abnormality detected</x:v>
      </x:c>
      <x:c r="H33" t="n">
        <x:v>3.91</x:v>
      </x:c>
      <x:c r="I33" t="str">
        <x:v>mmol/L</x:v>
      </x:c>
      <x:c r="J33" s="22" t="str">
        <x:v>General adult presentation</x:v>
      </x:c>
      <x:c r="K33" s="22" t="str">
        <x:v>No</x:v>
      </x:c>
      <x:c r="L33" s="22" t="str">
        <x:v>No</x:v>
      </x:c>
      <x:c r="M33" s="22" t="n">
        <x:v>3.91</x:v>
      </x:c>
      <x:c r="N33" s="22" t="str">
        <x:v>None</x:v>
      </x:c>
      <x:c r="O33" s="22" t="str">
        <x:v>No</x:v>
      </x:c>
      <x:c r="P33" s="22" t="str">
        <x:v>No</x:v>
      </x:c>
      <x:c r="Q33" s="22" t="str">
        <x:v>Not applicable</x:v>
      </x:c>
      <x:c r="R33" s="22" t="str">
        <x:v>Not applicable</x:v>
      </x:c>
      <x:c r="S33" s="22" t="str">
        <x:v>No</x:v>
      </x:c>
      <x:c r="T33" s="22" t="str">
        <x:v>No</x:v>
      </x:c>
      <x:c r="U33" s="22" t="str">
        <x:v>No</x:v>
      </x:c>
      <x:c r="V33" s="22" t="str">
        <x:v>None reported</x:v>
      </x:c>
      <x:c r="W33" s="22" t="str">
        <x:v>No</x:v>
      </x:c>
      <x:c r="X33" s="22" t="str">
        <x:v>Euvolaemic</x:v>
      </x:c>
      <x:c r="Y33" s="22" t="n">
        <x:v>99.2</x:v>
      </x:c>
      <x:c r="Z33" s="22" t="str">
        <x:v>NICE-GLOBAL-ASSESS-001</x:v>
      </x:c>
      <x:c r="AA33" s="22" t="str">
        <x:v>General NICE assessment only</x:v>
      </x:c>
      <x:c r="AB33" s="22" t="str">
        <x:v>Routine review</x:v>
      </x:c>
      <x:c r="AC33" s="22" t="str">
        <x:v>No abnormality-specific management</x:v>
      </x:c>
      <x:c r="AD33" s="22" t="str">
        <x:v>No electrolyte abnormality is detected by the synthetic reference range; interpret the result with the full clinical picture.</x:v>
      </x:c>
      <x:c r="AE33" s="22" t="str">
        <x:v>Synthetic reference ranges are not NICE management thresholds.</x:v>
      </x:c>
      <x:c r="AF33" s="22" t="str">
        <x:v>NICE-CG174</x:v>
      </x:c>
      <x:c r="AG33" s="22" t="str">
        <x:v>1.1.1 and 1.2.2</x:v>
      </x:c>
      <x:c r="AH33" s="22" t="str">
        <x:v>Potassium reference interval adult laboratory interpretation</x:v>
      </x:c>
      <x:c r="AI33" s="22" t="str">
        <x:v>train</x:v>
      </x:c>
      <x:c r="AJ33" s="22" t="str">
        <x:v>Yes</x:v>
      </x:c>
      <x:c r="AK33" s="22" t="str">
        <x:v>Pending</x:v>
      </x:c>
    </x:row>
    <x:row r="34">
      <x:c r="A34" t="str">
        <x:v>CASE-0618</x:v>
      </x:c>
      <x:c r="B34" s="22" t="str">
        <x:v>69-year-old male with hypomagnesaemia. Magnesium is 0.37 mmol/L; baseline is 0.39 mmol/L. Context: General adult presentation. Symptoms: None reported. IV fluids: No; CKD stage: None; heart failure: No; AKI: No; dialysis: No; eGFR: 113.2 mL/min/1.73m².</x:v>
      </x:c>
      <x:c r="C34" t="n">
        <x:v>69</x:v>
      </x:c>
      <x:c r="D34" t="str">
        <x:v>Male</x:v>
      </x:c>
      <x:c r="E34" t="str">
        <x:v>Not applicable</x:v>
      </x:c>
      <x:c r="F34" t="str">
        <x:v>Magnesium</x:v>
      </x:c>
      <x:c r="G34" t="str">
        <x:v>Hypomagnesaemia</x:v>
      </x:c>
      <x:c r="H34" t="n">
        <x:v>0.37</x:v>
      </x:c>
      <x:c r="I34" t="str">
        <x:v>mmol/L</x:v>
      </x:c>
      <x:c r="J34" s="22" t="str">
        <x:v>General adult presentation</x:v>
      </x:c>
      <x:c r="K34" s="22" t="str">
        <x:v>No</x:v>
      </x:c>
      <x:c r="L34" s="22" t="str">
        <x:v>No</x:v>
      </x:c>
      <x:c r="M34" s="22" t="n">
        <x:v>0.39</x:v>
      </x:c>
      <x:c r="N34" s="22" t="str">
        <x:v>None</x:v>
      </x:c>
      <x:c r="O34" s="22" t="str">
        <x:v>No</x:v>
      </x:c>
      <x:c r="P34" s="22" t="str">
        <x:v>No</x:v>
      </x:c>
      <x:c r="Q34" s="22" t="str">
        <x:v>Not applicable</x:v>
      </x:c>
      <x:c r="R34" s="22" t="str">
        <x:v>Not applicable</x:v>
      </x:c>
      <x:c r="S34" s="22" t="str">
        <x:v>No</x:v>
      </x:c>
      <x:c r="T34" s="22" t="str">
        <x:v>No</x:v>
      </x:c>
      <x:c r="U34" s="22" t="str">
        <x:v>No</x:v>
      </x:c>
      <x:c r="V34" s="22" t="str">
        <x:v>None reported</x:v>
      </x:c>
      <x:c r="W34" s="22" t="str">
        <x:v>No</x:v>
      </x:c>
      <x:c r="X34" s="22" t="str">
        <x:v>Hypervolaemic</x:v>
      </x:c>
      <x:c r="Y34" s="22" t="n">
        <x:v>113.2</x:v>
      </x:c>
      <x:c r="Z34" s="22" t="str">
        <x:v>NICE-UNSUPPORTED-001</x:v>
      </x:c>
      <x:c r="AA34" s="22" t="str">
        <x:v>No definitive NICE-only management</x:v>
      </x:c>
      <x:c r="AB34" s="22" t="str">
        <x:v>Clinical review required</x:v>
      </x:c>
      <x:c r="AC34" s="22" t="str">
        <x:v>No definitive NICE-only management output</x:v>
      </x:c>
      <x:c r="AD34" s="22" t="str">
        <x:v>Do not generate treatment instructions. Display that an approved local protocol or specialist review is required.</x:v>
      </x:c>
      <x:c r="AE34" s="22" t="str">
        <x:v>This is a safety rule, not a treatment recommendation.</x:v>
      </x:c>
      <x:c r="AF34" s="22" t="str"/>
      <x:c r="AG34" s="22" t="str"/>
      <x:c r="AH34" s="22" t="str">
        <x:v>Hypomagnesaemia adult General adult presentation guideline systematic review clinical review</x:v>
      </x:c>
      <x:c r="AI34" s="22" t="str">
        <x:v>train</x:v>
      </x:c>
      <x:c r="AJ34" s="22" t="str">
        <x:v>Yes</x:v>
      </x:c>
      <x:c r="AK34" s="22" t="str">
        <x:v>Pending</x:v>
      </x:c>
    </x:row>
    <x:row r="35">
      <x:c r="A35" t="str">
        <x:v>CASE-0242</x:v>
      </x:c>
      <x:c r="B35" s="22" t="str">
        <x:v>42-year-old male with hypokalaemia. Potassium is 3.35 mmol/L; baseline is 3.12 mmol/L. Context: General adult presentation. Symptoms: None reported. IV fluids: No; CKD stage: None; heart failure: No; AKI: No; dialysis: No; eGFR: 101.8 mL/min/1.73m².</x:v>
      </x:c>
      <x:c r="C35" t="n">
        <x:v>42</x:v>
      </x:c>
      <x:c r="D35" t="str">
        <x:v>Male</x:v>
      </x:c>
      <x:c r="E35" t="str">
        <x:v>Not applicable</x:v>
      </x:c>
      <x:c r="F35" t="str">
        <x:v>Potassium</x:v>
      </x:c>
      <x:c r="G35" t="str">
        <x:v>Hypokalaemia</x:v>
      </x:c>
      <x:c r="H35" t="n">
        <x:v>3.35</x:v>
      </x:c>
      <x:c r="I35" t="str">
        <x:v>mmol/L</x:v>
      </x:c>
      <x:c r="J35" s="22" t="str">
        <x:v>General adult presentation</x:v>
      </x:c>
      <x:c r="K35" s="22" t="str">
        <x:v>No</x:v>
      </x:c>
      <x:c r="L35" s="22" t="str">
        <x:v>No</x:v>
      </x:c>
      <x:c r="M35" s="22" t="n">
        <x:v>3.12</x:v>
      </x:c>
      <x:c r="N35" s="22" t="str">
        <x:v>None</x:v>
      </x:c>
      <x:c r="O35" s="22" t="str">
        <x:v>No</x:v>
      </x:c>
      <x:c r="P35" s="22" t="str">
        <x:v>No</x:v>
      </x:c>
      <x:c r="Q35" s="22" t="str">
        <x:v>Not applicable</x:v>
      </x:c>
      <x:c r="R35" s="22" t="str">
        <x:v>Not applicable</x:v>
      </x:c>
      <x:c r="S35" s="22" t="str">
        <x:v>No</x:v>
      </x:c>
      <x:c r="T35" s="22" t="str">
        <x:v>No</x:v>
      </x:c>
      <x:c r="U35" s="22" t="str">
        <x:v>No</x:v>
      </x:c>
      <x:c r="V35" s="22" t="str">
        <x:v>None reported</x:v>
      </x:c>
      <x:c r="W35" s="22" t="str">
        <x:v>No</x:v>
      </x:c>
      <x:c r="X35" s="22" t="str">
        <x:v>Euvolaemic</x:v>
      </x:c>
      <x:c r="Y35" s="22" t="n">
        <x:v>101.8</x:v>
      </x:c>
      <x:c r="Z35" s="22" t="str">
        <x:v>NICE-UNSUPPORTED-001</x:v>
      </x:c>
      <x:c r="AA35" s="22" t="str">
        <x:v>No definitive NICE-only management</x:v>
      </x:c>
      <x:c r="AB35" s="22" t="str">
        <x:v>Clinical review required</x:v>
      </x:c>
      <x:c r="AC35" s="22" t="str">
        <x:v>No definitive NICE-only management output</x:v>
      </x:c>
      <x:c r="AD35" s="22" t="str">
        <x:v>Do not generate treatment instructions. Display that an approved local protocol or specialist review is required.</x:v>
      </x:c>
      <x:c r="AE35" s="22" t="str">
        <x:v>This is a safety rule, not a treatment recommendation.</x:v>
      </x:c>
      <x:c r="AF35" s="22" t="str"/>
      <x:c r="AG35" s="22" t="str"/>
      <x:c r="AH35" s="22" t="str">
        <x:v>Hypokalaemia adult General adult presentation guideline systematic review clinical review</x:v>
      </x:c>
      <x:c r="AI35" s="22" t="str">
        <x:v>validation</x:v>
      </x:c>
      <x:c r="AJ35" s="22" t="str">
        <x:v>Yes</x:v>
      </x:c>
      <x:c r="AK35" s="22" t="str">
        <x:v>Pending</x:v>
      </x:c>
    </x:row>
    <x:row r="36">
      <x:c r="A36" t="str">
        <x:v>CASE-0168</x:v>
      </x:c>
      <x:c r="B36" s="22" t="str">
        <x:v>62-year-old female with hypernatraemia. Sodium is 151.9 mmol/L; baseline is 167.3 mmol/L. Context: General adult presentation. Symptoms: weakness. IV fluids: No; CKD stage: None; heart failure: No; AKI: No; dialysis: No; eGFR: 18.6 mL/min/1.73m².</x:v>
      </x:c>
      <x:c r="C36" t="n">
        <x:v>62</x:v>
      </x:c>
      <x:c r="D36" t="str">
        <x:v>Female</x:v>
      </x:c>
      <x:c r="E36" t="str">
        <x:v>Not applicable</x:v>
      </x:c>
      <x:c r="F36" t="str">
        <x:v>Sodium</x:v>
      </x:c>
      <x:c r="G36" t="str">
        <x:v>Hypernatraemia</x:v>
      </x:c>
      <x:c r="H36" t="n">
        <x:v>151.9</x:v>
      </x:c>
      <x:c r="I36" t="str">
        <x:v>mmol/L</x:v>
      </x:c>
      <x:c r="J36" s="22" t="str">
        <x:v>General adult presentation</x:v>
      </x:c>
      <x:c r="K36" s="22" t="str">
        <x:v>No</x:v>
      </x:c>
      <x:c r="L36" s="22" t="str">
        <x:v>No</x:v>
      </x:c>
      <x:c r="M36" s="22" t="n">
        <x:v>167.3</x:v>
      </x:c>
      <x:c r="N36" s="22" t="str">
        <x:v>None</x:v>
      </x:c>
      <x:c r="O36" s="22" t="str">
        <x:v>No</x:v>
      </x:c>
      <x:c r="P36" s="22" t="str">
        <x:v>No</x:v>
      </x:c>
      <x:c r="Q36" s="22" t="str">
        <x:v>Not applicable</x:v>
      </x:c>
      <x:c r="R36" s="22" t="str">
        <x:v>Not applicable</x:v>
      </x:c>
      <x:c r="S36" s="22" t="str">
        <x:v>No</x:v>
      </x:c>
      <x:c r="T36" s="22" t="str">
        <x:v>No</x:v>
      </x:c>
      <x:c r="U36" s="22" t="str">
        <x:v>No</x:v>
      </x:c>
      <x:c r="V36" s="22" t="str">
        <x:v>weakness</x:v>
      </x:c>
      <x:c r="W36" s="22" t="str">
        <x:v>No</x:v>
      </x:c>
      <x:c r="X36" s="22" t="str">
        <x:v>Hypervolaemic</x:v>
      </x:c>
      <x:c r="Y36" s="22" t="n">
        <x:v>18.6</x:v>
      </x:c>
      <x:c r="Z36" s="22" t="str">
        <x:v>NICE-UNSUPPORTED-001</x:v>
      </x:c>
      <x:c r="AA36" s="22" t="str">
        <x:v>No definitive NICE-only management</x:v>
      </x:c>
      <x:c r="AB36" s="22" t="str">
        <x:v>Clinical review required</x:v>
      </x:c>
      <x:c r="AC36" s="22" t="str">
        <x:v>No definitive NICE-only management output</x:v>
      </x:c>
      <x:c r="AD36" s="22" t="str">
        <x:v>Do not generate treatment instructions. Display that an approved local protocol or specialist review is required.</x:v>
      </x:c>
      <x:c r="AE36" s="22" t="str">
        <x:v>This is a safety rule, not a treatment recommendation.</x:v>
      </x:c>
      <x:c r="AF36" s="22" t="str"/>
      <x:c r="AG36" s="22" t="str"/>
      <x:c r="AH36" s="22" t="str">
        <x:v>Hypernatraemia adult General adult presentation guideline systematic review clinical review</x:v>
      </x:c>
      <x:c r="AI36" s="22" t="str">
        <x:v>validation</x:v>
      </x:c>
      <x:c r="AJ36" s="22" t="str">
        <x:v>Yes</x:v>
      </x:c>
      <x:c r="AK36" s="22" t="str">
        <x:v>Pending</x:v>
      </x:c>
    </x:row>
    <x:row r="37">
      <x:c r="A37" t="str">
        <x:v>CASE-0891</x:v>
      </x:c>
      <x:c r="B37" s="22" t="str">
        <x:v>60-year-old male with no detected potassium abnormality. Potassium is 3.79 mmol/L. General adult presentation.</x:v>
      </x:c>
      <x:c r="C37" t="n">
        <x:v>60</x:v>
      </x:c>
      <x:c r="D37" t="str">
        <x:v>Male</x:v>
      </x:c>
      <x:c r="E37" t="str">
        <x:v>Not applicable</x:v>
      </x:c>
      <x:c r="F37" t="str">
        <x:v>Potassium</x:v>
      </x:c>
      <x:c r="G37" t="str">
        <x:v>No abnormality detected</x:v>
      </x:c>
      <x:c r="H37" t="n">
        <x:v>3.79</x:v>
      </x:c>
      <x:c r="I37" t="str">
        <x:v>mmol/L</x:v>
      </x:c>
      <x:c r="J37" s="22" t="str">
        <x:v>General adult presentation</x:v>
      </x:c>
      <x:c r="K37" s="22" t="str">
        <x:v>No</x:v>
      </x:c>
      <x:c r="L37" s="22" t="str">
        <x:v>No</x:v>
      </x:c>
      <x:c r="M37" s="22" t="n">
        <x:v>3.79</x:v>
      </x:c>
      <x:c r="N37" s="22" t="str">
        <x:v>None</x:v>
      </x:c>
      <x:c r="O37" s="22" t="str">
        <x:v>No</x:v>
      </x:c>
      <x:c r="P37" s="22" t="str">
        <x:v>No</x:v>
      </x:c>
      <x:c r="Q37" s="22" t="str">
        <x:v>Not applicable</x:v>
      </x:c>
      <x:c r="R37" s="22" t="str">
        <x:v>Not applicable</x:v>
      </x:c>
      <x:c r="S37" s="22" t="str">
        <x:v>No</x:v>
      </x:c>
      <x:c r="T37" s="22" t="str">
        <x:v>No</x:v>
      </x:c>
      <x:c r="U37" s="22" t="str">
        <x:v>No</x:v>
      </x:c>
      <x:c r="V37" s="22" t="str">
        <x:v>None reported</x:v>
      </x:c>
      <x:c r="W37" s="22" t="str">
        <x:v>No</x:v>
      </x:c>
      <x:c r="X37" s="22" t="str">
        <x:v>Euvolaemic</x:v>
      </x:c>
      <x:c r="Y37" s="22" t="n">
        <x:v>93.2</x:v>
      </x:c>
      <x:c r="Z37" s="22" t="str">
        <x:v>NICE-GLOBAL-ASSESS-001</x:v>
      </x:c>
      <x:c r="AA37" s="22" t="str">
        <x:v>General NICE assessment only</x:v>
      </x:c>
      <x:c r="AB37" s="22" t="str">
        <x:v>Routine review</x:v>
      </x:c>
      <x:c r="AC37" s="22" t="str">
        <x:v>No abnormality-specific management</x:v>
      </x:c>
      <x:c r="AD37" s="22" t="str">
        <x:v>No electrolyte abnormality is detected by the synthetic reference range; interpret the result with the full clinical picture.</x:v>
      </x:c>
      <x:c r="AE37" s="22" t="str">
        <x:v>Synthetic reference ranges are not NICE management thresholds.</x:v>
      </x:c>
      <x:c r="AF37" s="22" t="str">
        <x:v>NICE-CG174</x:v>
      </x:c>
      <x:c r="AG37" s="22" t="str">
        <x:v>1.1.1 and 1.2.2</x:v>
      </x:c>
      <x:c r="AH37" s="22" t="str">
        <x:v>Potassium reference interval adult laboratory interpretation</x:v>
      </x:c>
      <x:c r="AI37" s="22" t="str">
        <x:v>validation</x:v>
      </x:c>
      <x:c r="AJ37" s="22" t="str">
        <x:v>Yes</x:v>
      </x:c>
      <x:c r="AK37" s="22" t="str">
        <x:v>Pending</x:v>
      </x:c>
    </x:row>
    <x:row r="38">
      <x:c r="A38" t="str">
        <x:v>CASE-0906</x:v>
      </x:c>
      <x:c r="B38" s="22" t="str">
        <x:v>70-year-old female with no detected adjusted calcium abnormality. Adjusted calcium is 2.4 mmol/L. General adult presentation.</x:v>
      </x:c>
      <x:c r="C38" t="n">
        <x:v>70</x:v>
      </x:c>
      <x:c r="D38" t="str">
        <x:v>Female</x:v>
      </x:c>
      <x:c r="E38" t="str">
        <x:v>Not applicable</x:v>
      </x:c>
      <x:c r="F38" t="str">
        <x:v>Adjusted calcium</x:v>
      </x:c>
      <x:c r="G38" t="str">
        <x:v>No abnormality detected</x:v>
      </x:c>
      <x:c r="H38" t="n">
        <x:v>2.4</x:v>
      </x:c>
      <x:c r="I38" t="str">
        <x:v>mmol/L</x:v>
      </x:c>
      <x:c r="J38" s="22" t="str">
        <x:v>General adult presentation</x:v>
      </x:c>
      <x:c r="K38" s="22" t="str">
        <x:v>No</x:v>
      </x:c>
      <x:c r="L38" s="22" t="str">
        <x:v>No</x:v>
      </x:c>
      <x:c r="M38" s="22" t="n">
        <x:v>2.4</x:v>
      </x:c>
      <x:c r="N38" s="22" t="str">
        <x:v>None</x:v>
      </x:c>
      <x:c r="O38" s="22" t="str">
        <x:v>No</x:v>
      </x:c>
      <x:c r="P38" s="22" t="str">
        <x:v>No</x:v>
      </x:c>
      <x:c r="Q38" s="22" t="str">
        <x:v>Not applicable</x:v>
      </x:c>
      <x:c r="R38" s="22" t="str">
        <x:v>Not applicable</x:v>
      </x:c>
      <x:c r="S38" s="22" t="str">
        <x:v>No</x:v>
      </x:c>
      <x:c r="T38" s="22" t="str">
        <x:v>No</x:v>
      </x:c>
      <x:c r="U38" s="22" t="str">
        <x:v>No</x:v>
      </x:c>
      <x:c r="V38" s="22" t="str">
        <x:v>None reported</x:v>
      </x:c>
      <x:c r="W38" s="22" t="str">
        <x:v>No</x:v>
      </x:c>
      <x:c r="X38" s="22" t="str">
        <x:v>Euvolaemic</x:v>
      </x:c>
      <x:c r="Y38" s="22" t="n">
        <x:v>60.5</x:v>
      </x:c>
      <x:c r="Z38" s="22" t="str">
        <x:v>NICE-GLOBAL-ASSESS-001</x:v>
      </x:c>
      <x:c r="AA38" s="22" t="str">
        <x:v>General NICE assessment only</x:v>
      </x:c>
      <x:c r="AB38" s="22" t="str">
        <x:v>Routine review</x:v>
      </x:c>
      <x:c r="AC38" s="22" t="str">
        <x:v>No abnormality-specific management</x:v>
      </x:c>
      <x:c r="AD38" s="22" t="str">
        <x:v>No electrolyte abnormality is detected by the synthetic reference range; interpret the result with the full clinical picture.</x:v>
      </x:c>
      <x:c r="AE38" s="22" t="str">
        <x:v>Synthetic reference ranges are not NICE management thresholds.</x:v>
      </x:c>
      <x:c r="AF38" s="22" t="str">
        <x:v>NICE-CG174</x:v>
      </x:c>
      <x:c r="AG38" s="22" t="str">
        <x:v>1.1.1 and 1.2.2</x:v>
      </x:c>
      <x:c r="AH38" s="22" t="str">
        <x:v>Adjusted calcium reference interval adult laboratory interpretation</x:v>
      </x:c>
      <x:c r="AI38" s="22" t="str">
        <x:v>test</x:v>
      </x:c>
      <x:c r="AJ38" s="22" t="str">
        <x:v>Yes</x:v>
      </x:c>
      <x:c r="AK38" s="22" t="str">
        <x:v>Pending</x:v>
      </x:c>
    </x:row>
    <x:row r="39">
      <x:c r="A39" t="str">
        <x:v>CASE-0685</x:v>
      </x:c>
      <x:c r="B39" s="22" t="str">
        <x:v>87-year-old male with hypomagnesaemia. Magnesium is 0.68 mmol/L; baseline is 0.34 mmol/L. Context: General adult presentation. Symptoms: None reported. IV fluids: No; CKD stage: None; heart failure: No; AKI: No; dialysis: No; eGFR: 91.5 mL/min/1.73m².</x:v>
      </x:c>
      <x:c r="C39" t="n">
        <x:v>87</x:v>
      </x:c>
      <x:c r="D39" t="str">
        <x:v>Male</x:v>
      </x:c>
      <x:c r="E39" t="str">
        <x:v>Not applicable</x:v>
      </x:c>
      <x:c r="F39" t="str">
        <x:v>Magnesium</x:v>
      </x:c>
      <x:c r="G39" t="str">
        <x:v>Hypomagnesaemia</x:v>
      </x:c>
      <x:c r="H39" t="n">
        <x:v>0.68</x:v>
      </x:c>
      <x:c r="I39" t="str">
        <x:v>mmol/L</x:v>
      </x:c>
      <x:c r="J39" s="22" t="str">
        <x:v>General adult presentation</x:v>
      </x:c>
      <x:c r="K39" s="22" t="str">
        <x:v>No</x:v>
      </x:c>
      <x:c r="L39" s="22" t="str">
        <x:v>No</x:v>
      </x:c>
      <x:c r="M39" s="22" t="n">
        <x:v>0.34</x:v>
      </x:c>
      <x:c r="N39" s="22" t="str">
        <x:v>None</x:v>
      </x:c>
      <x:c r="O39" s="22" t="str">
        <x:v>No</x:v>
      </x:c>
      <x:c r="P39" s="22" t="str">
        <x:v>No</x:v>
      </x:c>
      <x:c r="Q39" s="22" t="str">
        <x:v>Not applicable</x:v>
      </x:c>
      <x:c r="R39" s="22" t="str">
        <x:v>Not applicable</x:v>
      </x:c>
      <x:c r="S39" s="22" t="str">
        <x:v>No</x:v>
      </x:c>
      <x:c r="T39" s="22" t="str">
        <x:v>No</x:v>
      </x:c>
      <x:c r="U39" s="22" t="str">
        <x:v>No</x:v>
      </x:c>
      <x:c r="V39" s="22" t="str">
        <x:v>None reported</x:v>
      </x:c>
      <x:c r="W39" s="22" t="str">
        <x:v>No</x:v>
      </x:c>
      <x:c r="X39" s="22" t="str">
        <x:v>Hypervolaemic</x:v>
      </x:c>
      <x:c r="Y39" s="22" t="n">
        <x:v>91.5</x:v>
      </x:c>
      <x:c r="Z39" s="22" t="str">
        <x:v>NICE-UNSUPPORTED-001</x:v>
      </x:c>
      <x:c r="AA39" s="22" t="str">
        <x:v>No definitive NICE-only management</x:v>
      </x:c>
      <x:c r="AB39" s="22" t="str">
        <x:v>Clinical review required</x:v>
      </x:c>
      <x:c r="AC39" s="22" t="str">
        <x:v>No definitive NICE-only management output</x:v>
      </x:c>
      <x:c r="AD39" s="22" t="str">
        <x:v>Do not generate treatment instructions. Display that an approved local protocol or specialist review is required.</x:v>
      </x:c>
      <x:c r="AE39" s="22" t="str">
        <x:v>This is a safety rule, not a treatment recommendation.</x:v>
      </x:c>
      <x:c r="AF39" s="22" t="str"/>
      <x:c r="AG39" s="22" t="str"/>
      <x:c r="AH39" s="22" t="str">
        <x:v>Hypomagnesaemia adult General adult presentation guideline systematic review clinical review</x:v>
      </x:c>
      <x:c r="AI39" s="22" t="str">
        <x:v>test</x:v>
      </x:c>
      <x:c r="AJ39" s="22" t="str">
        <x:v>Yes</x:v>
      </x:c>
      <x:c r="AK39" s="22" t="str">
        <x:v>Pending</x:v>
      </x:c>
    </x:row>
    <x:row r="40">
      <x:c r="A40" t="str">
        <x:v>CASE-0917</x:v>
      </x:c>
      <x:c r="B40" s="22" t="str">
        <x:v>26-year-old female with no detected adjusted calcium abnormality. Adjusted calcium is 2.54 mmol/L. General adult presentation.</x:v>
      </x:c>
      <x:c r="C40" t="n">
        <x:v>26</x:v>
      </x:c>
      <x:c r="D40" t="str">
        <x:v>Female</x:v>
      </x:c>
      <x:c r="E40" t="str">
        <x:v>Not applicable</x:v>
      </x:c>
      <x:c r="F40" t="str">
        <x:v>Adjusted calcium</x:v>
      </x:c>
      <x:c r="G40" t="str">
        <x:v>No abnormality detected</x:v>
      </x:c>
      <x:c r="H40" t="n">
        <x:v>2.54</x:v>
      </x:c>
      <x:c r="I40" t="str">
        <x:v>mmol/L</x:v>
      </x:c>
      <x:c r="J40" s="22" t="str">
        <x:v>General adult presentation</x:v>
      </x:c>
      <x:c r="K40" s="22" t="str">
        <x:v>No</x:v>
      </x:c>
      <x:c r="L40" s="22" t="str">
        <x:v>No</x:v>
      </x:c>
      <x:c r="M40" s="22" t="n">
        <x:v>2.54</x:v>
      </x:c>
      <x:c r="N40" s="22" t="str">
        <x:v>None</x:v>
      </x:c>
      <x:c r="O40" s="22" t="str">
        <x:v>No</x:v>
      </x:c>
      <x:c r="P40" s="22" t="str">
        <x:v>No</x:v>
      </x:c>
      <x:c r="Q40" s="22" t="str">
        <x:v>Not applicable</x:v>
      </x:c>
      <x:c r="R40" s="22" t="str">
        <x:v>Not applicable</x:v>
      </x:c>
      <x:c r="S40" s="22" t="str">
        <x:v>No</x:v>
      </x:c>
      <x:c r="T40" s="22" t="str">
        <x:v>No</x:v>
      </x:c>
      <x:c r="U40" s="22" t="str">
        <x:v>No</x:v>
      </x:c>
      <x:c r="V40" s="22" t="str">
        <x:v>None reported</x:v>
      </x:c>
      <x:c r="W40" s="22" t="str">
        <x:v>No</x:v>
      </x:c>
      <x:c r="X40" s="22" t="str">
        <x:v>Euvolaemic</x:v>
      </x:c>
      <x:c r="Y40" s="22" t="n">
        <x:v>113</x:v>
      </x:c>
      <x:c r="Z40" s="22" t="str">
        <x:v>NICE-GLOBAL-ASSESS-001</x:v>
      </x:c>
      <x:c r="AA40" s="22" t="str">
        <x:v>General NICE assessment only</x:v>
      </x:c>
      <x:c r="AB40" s="22" t="str">
        <x:v>Routine review</x:v>
      </x:c>
      <x:c r="AC40" s="22" t="str">
        <x:v>No abnormality-specific management</x:v>
      </x:c>
      <x:c r="AD40" s="22" t="str">
        <x:v>No electrolyte abnormality is detected by the synthetic reference range; interpret the result with the full clinical picture.</x:v>
      </x:c>
      <x:c r="AE40" s="22" t="str">
        <x:v>Synthetic reference ranges are not NICE management thresholds.</x:v>
      </x:c>
      <x:c r="AF40" s="22" t="str">
        <x:v>NICE-CG174</x:v>
      </x:c>
      <x:c r="AG40" s="22" t="str">
        <x:v>1.1.1 and 1.2.2</x:v>
      </x:c>
      <x:c r="AH40" s="22" t="str">
        <x:v>Adjusted calcium reference interval adult laboratory interpretation</x:v>
      </x:c>
      <x:c r="AI40" s="22" t="str">
        <x:v>test</x:v>
      </x:c>
      <x:c r="AJ40" s="22" t="str">
        <x:v>Yes</x:v>
      </x:c>
      <x:c r="AK40" s="22" t="str">
        <x:v>Pending</x:v>
      </x:c>
    </x:row>
    <x:row r="41">
      <x:c r="A41" t="str">
        <x:v>CASE-0584</x:v>
      </x:c>
      <x:c r="B41" s="22" t="str">
        <x:v>77-year-old female with hypercalcaemia. Adjusted calcium is 2.64 mmol/L; baseline is 3.21 mmol/L. Context: General adult presentation. Symptoms: None reported. IV fluids: No; CKD stage: None; heart failure: No; AKI: No; dialysis: No; eGFR: 65.8 mL/min/1.73m².</x:v>
      </x:c>
      <x:c r="C41" t="n">
        <x:v>77</x:v>
      </x:c>
      <x:c r="D41" t="str">
        <x:v>Female</x:v>
      </x:c>
      <x:c r="E41" t="str">
        <x:v>Not applicable</x:v>
      </x:c>
      <x:c r="F41" t="str">
        <x:v>Adjusted calcium</x:v>
      </x:c>
      <x:c r="G41" t="str">
        <x:v>Hypercalcaemia</x:v>
      </x:c>
      <x:c r="H41" t="n">
        <x:v>2.64</x:v>
      </x:c>
      <x:c r="I41" t="str">
        <x:v>mmol/L</x:v>
      </x:c>
      <x:c r="J41" s="22" t="str">
        <x:v>General adult presentation</x:v>
      </x:c>
      <x:c r="K41" s="22" t="str">
        <x:v>No</x:v>
      </x:c>
      <x:c r="L41" s="22" t="str">
        <x:v>No</x:v>
      </x:c>
      <x:c r="M41" s="22" t="n">
        <x:v>3.21</x:v>
      </x:c>
      <x:c r="N41" s="22" t="str">
        <x:v>None</x:v>
      </x:c>
      <x:c r="O41" s="22" t="str">
        <x:v>No</x:v>
      </x:c>
      <x:c r="P41" s="22" t="str">
        <x:v>No</x:v>
      </x:c>
      <x:c r="Q41" s="22" t="str">
        <x:v>Not applicable</x:v>
      </x:c>
      <x:c r="R41" s="22" t="str">
        <x:v>Not applicable</x:v>
      </x:c>
      <x:c r="S41" s="22" t="str">
        <x:v>No</x:v>
      </x:c>
      <x:c r="T41" s="22" t="str">
        <x:v>No</x:v>
      </x:c>
      <x:c r="U41" s="22" t="str">
        <x:v>No</x:v>
      </x:c>
      <x:c r="V41" s="22" t="str">
        <x:v>None reported</x:v>
      </x:c>
      <x:c r="W41" s="22" t="str">
        <x:v>No</x:v>
      </x:c>
      <x:c r="X41" s="22" t="str">
        <x:v>Hypervolaemic</x:v>
      </x:c>
      <x:c r="Y41" s="22" t="n">
        <x:v>65.8</x:v>
      </x:c>
      <x:c r="Z41" s="22" t="str">
        <x:v>NICE-UNSUPPORTED-001</x:v>
      </x:c>
      <x:c r="AA41" s="22" t="str">
        <x:v>No definitive NICE-only management</x:v>
      </x:c>
      <x:c r="AB41" s="22" t="str">
        <x:v>Clinical review required</x:v>
      </x:c>
      <x:c r="AC41" s="22" t="str">
        <x:v>No definitive NICE-only management output</x:v>
      </x:c>
      <x:c r="AD41" s="22" t="str">
        <x:v>Do not generate treatment instructions. Display that an approved local protocol or specialist review is required.</x:v>
      </x:c>
      <x:c r="AE41" s="22" t="str">
        <x:v>This is a safety rule, not a treatment recommendation.</x:v>
      </x:c>
      <x:c r="AF41" s="22" t="str"/>
      <x:c r="AG41" s="22" t="str"/>
      <x:c r="AH41" s="22" t="str">
        <x:v>Hypercalcaemia adult General adult presentation guideline systematic review clinical review</x:v>
      </x:c>
      <x:c r="AI41" s="22" t="str">
        <x:v>train</x:v>
      </x:c>
      <x:c r="AJ41" s="22" t="str">
        <x:v>Yes</x:v>
      </x:c>
      <x:c r="AK41" s="22" t="str">
        <x:v>Pending</x:v>
      </x:c>
    </x:row>
    <x:row r="42">
      <x:c r="A42" t="str">
        <x:v>CASE-0982</x:v>
      </x:c>
      <x:c r="B42" s="22" t="str">
        <x:v>44-year-old female with no detected magnesium abnormality. Magnesium is 0.79 mmol/L. General adult presentation.</x:v>
      </x:c>
      <x:c r="C42" t="n">
        <x:v>44</x:v>
      </x:c>
      <x:c r="D42" t="str">
        <x:v>Female</x:v>
      </x:c>
      <x:c r="E42" t="str">
        <x:v>Not applicable</x:v>
      </x:c>
      <x:c r="F42" t="str">
        <x:v>Magnesium</x:v>
      </x:c>
      <x:c r="G42" t="str">
        <x:v>No abnormality detected</x:v>
      </x:c>
      <x:c r="H42" t="n">
        <x:v>0.79</x:v>
      </x:c>
      <x:c r="I42" t="str">
        <x:v>mmol/L</x:v>
      </x:c>
      <x:c r="J42" s="22" t="str">
        <x:v>General adult presentation</x:v>
      </x:c>
      <x:c r="K42" s="22" t="str">
        <x:v>No</x:v>
      </x:c>
      <x:c r="L42" s="22" t="str">
        <x:v>No</x:v>
      </x:c>
      <x:c r="M42" s="22" t="n">
        <x:v>0.79</x:v>
      </x:c>
      <x:c r="N42" s="22" t="str">
        <x:v>None</x:v>
      </x:c>
      <x:c r="O42" s="22" t="str">
        <x:v>No</x:v>
      </x:c>
      <x:c r="P42" s="22" t="str">
        <x:v>No</x:v>
      </x:c>
      <x:c r="Q42" s="22" t="str">
        <x:v>Not applicable</x:v>
      </x:c>
      <x:c r="R42" s="22" t="str">
        <x:v>Not applicable</x:v>
      </x:c>
      <x:c r="S42" s="22" t="str">
        <x:v>No</x:v>
      </x:c>
      <x:c r="T42" s="22" t="str">
        <x:v>No</x:v>
      </x:c>
      <x:c r="U42" s="22" t="str">
        <x:v>No</x:v>
      </x:c>
      <x:c r="V42" s="22" t="str">
        <x:v>None reported</x:v>
      </x:c>
      <x:c r="W42" s="22" t="str">
        <x:v>No</x:v>
      </x:c>
      <x:c r="X42" s="22" t="str">
        <x:v>Euvolaemic</x:v>
      </x:c>
      <x:c r="Y42" s="22" t="n">
        <x:v>118.3</x:v>
      </x:c>
      <x:c r="Z42" s="22" t="str">
        <x:v>NICE-GLOBAL-ASSESS-001</x:v>
      </x:c>
      <x:c r="AA42" s="22" t="str">
        <x:v>General NICE assessment only</x:v>
      </x:c>
      <x:c r="AB42" s="22" t="str">
        <x:v>Routine review</x:v>
      </x:c>
      <x:c r="AC42" s="22" t="str">
        <x:v>No abnormality-specific management</x:v>
      </x:c>
      <x:c r="AD42" s="22" t="str">
        <x:v>No electrolyte abnormality is detected by the synthetic reference range; interpret the result with the full clinical picture.</x:v>
      </x:c>
      <x:c r="AE42" s="22" t="str">
        <x:v>Synthetic reference ranges are not NICE management thresholds.</x:v>
      </x:c>
      <x:c r="AF42" s="22" t="str">
        <x:v>NICE-CG174</x:v>
      </x:c>
      <x:c r="AG42" s="22" t="str">
        <x:v>1.1.1 and 1.2.2</x:v>
      </x:c>
      <x:c r="AH42" s="22" t="str">
        <x:v>Magnesium reference interval adult laboratory interpretation</x:v>
      </x:c>
      <x:c r="AI42" s="22" t="str">
        <x:v>train</x:v>
      </x:c>
      <x:c r="AJ42" s="22" t="str">
        <x:v>Yes</x:v>
      </x:c>
      <x:c r="AK42" s="22" t="str">
        <x:v>Pending</x:v>
      </x:c>
    </x:row>
    <x:row r="43">
      <x:c r="A43" t="str">
        <x:v>CASE-0489</x:v>
      </x:c>
      <x:c r="B43" s="22" t="str">
        <x:v>60-year-old male with hypocalcaemia. Adjusted calcium is 1.74 mmol/L; baseline is 2.09 mmol/L. Context: General adult presentation. Symptoms: tingling. IV fluids: No; CKD stage: None; heart failure: No; AKI: No; dialysis: No; eGFR: 20.3 mL/min/1.73m².</x:v>
      </x:c>
      <x:c r="C43" t="n">
        <x:v>60</x:v>
      </x:c>
      <x:c r="D43" t="str">
        <x:v>Male</x:v>
      </x:c>
      <x:c r="E43" t="str">
        <x:v>Not applicable</x:v>
      </x:c>
      <x:c r="F43" t="str">
        <x:v>Adjusted calcium</x:v>
      </x:c>
      <x:c r="G43" t="str">
        <x:v>Hypocalcaemia</x:v>
      </x:c>
      <x:c r="H43" t="n">
        <x:v>1.74</x:v>
      </x:c>
      <x:c r="I43" t="str">
        <x:v>mmol/L</x:v>
      </x:c>
      <x:c r="J43" s="22" t="str">
        <x:v>General adult presentation</x:v>
      </x:c>
      <x:c r="K43" s="22" t="str">
        <x:v>No</x:v>
      </x:c>
      <x:c r="L43" s="22" t="str">
        <x:v>No</x:v>
      </x:c>
      <x:c r="M43" s="22" t="n">
        <x:v>2.09</x:v>
      </x:c>
      <x:c r="N43" s="22" t="str">
        <x:v>None</x:v>
      </x:c>
      <x:c r="O43" s="22" t="str">
        <x:v>No</x:v>
      </x:c>
      <x:c r="P43" s="22" t="str">
        <x:v>No</x:v>
      </x:c>
      <x:c r="Q43" s="22" t="str">
        <x:v>Not applicable</x:v>
      </x:c>
      <x:c r="R43" s="22" t="str">
        <x:v>Not applicable</x:v>
      </x:c>
      <x:c r="S43" s="22" t="str">
        <x:v>No</x:v>
      </x:c>
      <x:c r="T43" s="22" t="str">
        <x:v>No</x:v>
      </x:c>
      <x:c r="U43" s="22" t="str">
        <x:v>No</x:v>
      </x:c>
      <x:c r="V43" s="22" t="str">
        <x:v>tingling</x:v>
      </x:c>
      <x:c r="W43" s="22" t="str">
        <x:v>No</x:v>
      </x:c>
      <x:c r="X43" s="22" t="str">
        <x:v>Euvolaemic</x:v>
      </x:c>
      <x:c r="Y43" s="22" t="n">
        <x:v>20.3</x:v>
      </x:c>
      <x:c r="Z43" s="22" t="str">
        <x:v>NICE-UNSUPPORTED-001</x:v>
      </x:c>
      <x:c r="AA43" s="22" t="str">
        <x:v>No definitive NICE-only management</x:v>
      </x:c>
      <x:c r="AB43" s="22" t="str">
        <x:v>Clinical review required</x:v>
      </x:c>
      <x:c r="AC43" s="22" t="str">
        <x:v>No definitive NICE-only management output</x:v>
      </x:c>
      <x:c r="AD43" s="22" t="str">
        <x:v>Do not generate treatment instructions. Display that an approved local protocol or specialist review is required.</x:v>
      </x:c>
      <x:c r="AE43" s="22" t="str">
        <x:v>This is a safety rule, not a treatment recommendation.</x:v>
      </x:c>
      <x:c r="AF43" s="22" t="str"/>
      <x:c r="AG43" s="22" t="str"/>
      <x:c r="AH43" s="22" t="str">
        <x:v>Hypocalcaemia adult General adult presentation guideline systematic review clinical review</x:v>
      </x:c>
      <x:c r="AI43" s="22" t="str">
        <x:v>train</x:v>
      </x:c>
      <x:c r="AJ43" s="22" t="str">
        <x:v>Yes</x:v>
      </x:c>
      <x:c r="AK43" s="22" t="str">
        <x:v>Pending</x:v>
      </x:c>
    </x:row>
    <x:row r="44">
      <x:c r="A44" t="str">
        <x:v>CASE-0929</x:v>
      </x:c>
      <x:c r="B44" s="22" t="str">
        <x:v>34-year-old male with no detected adjusted calcium abnormality. Adjusted calcium is 2.57 mmol/L. General adult presentation.</x:v>
      </x:c>
      <x:c r="C44" t="n">
        <x:v>34</x:v>
      </x:c>
      <x:c r="D44" t="str">
        <x:v>Male</x:v>
      </x:c>
      <x:c r="E44" t="str">
        <x:v>Not applicable</x:v>
      </x:c>
      <x:c r="F44" t="str">
        <x:v>Adjusted calcium</x:v>
      </x:c>
      <x:c r="G44" t="str">
        <x:v>No abnormality detected</x:v>
      </x:c>
      <x:c r="H44" t="n">
        <x:v>2.57</x:v>
      </x:c>
      <x:c r="I44" t="str">
        <x:v>mmol/L</x:v>
      </x:c>
      <x:c r="J44" s="22" t="str">
        <x:v>General adult presentation</x:v>
      </x:c>
      <x:c r="K44" s="22" t="str">
        <x:v>No</x:v>
      </x:c>
      <x:c r="L44" s="22" t="str">
        <x:v>No</x:v>
      </x:c>
      <x:c r="M44" s="22" t="n">
        <x:v>2.57</x:v>
      </x:c>
      <x:c r="N44" s="22" t="str">
        <x:v>None</x:v>
      </x:c>
      <x:c r="O44" s="22" t="str">
        <x:v>No</x:v>
      </x:c>
      <x:c r="P44" s="22" t="str">
        <x:v>No</x:v>
      </x:c>
      <x:c r="Q44" s="22" t="str">
        <x:v>Not applicable</x:v>
      </x:c>
      <x:c r="R44" s="22" t="str">
        <x:v>Not applicable</x:v>
      </x:c>
      <x:c r="S44" s="22" t="str">
        <x:v>No</x:v>
      </x:c>
      <x:c r="T44" s="22" t="str">
        <x:v>No</x:v>
      </x:c>
      <x:c r="U44" s="22" t="str">
        <x:v>No</x:v>
      </x:c>
      <x:c r="V44" s="22" t="str">
        <x:v>None reported</x:v>
      </x:c>
      <x:c r="W44" s="22" t="str">
        <x:v>No</x:v>
      </x:c>
      <x:c r="X44" s="22" t="str">
        <x:v>Euvolaemic</x:v>
      </x:c>
      <x:c r="Y44" s="22" t="n">
        <x:v>73.6</x:v>
      </x:c>
      <x:c r="Z44" s="22" t="str">
        <x:v>NICE-GLOBAL-ASSESS-001</x:v>
      </x:c>
      <x:c r="AA44" s="22" t="str">
        <x:v>General NICE assessment only</x:v>
      </x:c>
      <x:c r="AB44" s="22" t="str">
        <x:v>Routine review</x:v>
      </x:c>
      <x:c r="AC44" s="22" t="str">
        <x:v>No abnormality-specific management</x:v>
      </x:c>
      <x:c r="AD44" s="22" t="str">
        <x:v>No electrolyte abnormality is detected by the synthetic reference range; interpret the result with the full clinical picture.</x:v>
      </x:c>
      <x:c r="AE44" s="22" t="str">
        <x:v>Synthetic reference ranges are not NICE management thresholds.</x:v>
      </x:c>
      <x:c r="AF44" s="22" t="str">
        <x:v>NICE-CG174</x:v>
      </x:c>
      <x:c r="AG44" s="22" t="str">
        <x:v>1.1.1 and 1.2.2</x:v>
      </x:c>
      <x:c r="AH44" s="22" t="str">
        <x:v>Adjusted calcium reference interval adult laboratory interpretation</x:v>
      </x:c>
      <x:c r="AI44" s="22" t="str">
        <x:v>train</x:v>
      </x:c>
      <x:c r="AJ44" s="22" t="str">
        <x:v>Yes</x:v>
      </x:c>
      <x:c r="AK44" s="22" t="str">
        <x:v>Pending</x:v>
      </x:c>
    </x:row>
    <x:row r="45">
      <x:c r="A45" t="str">
        <x:v>CASE-0073</x:v>
      </x:c>
      <x:c r="B45" s="22" t="str">
        <x:v>79-year-old male with hyponatraemia. Sodium is 121.6 mmol/L; baseline is 121.2 mmol/L. Context: General adult presentation. Symptoms: headache. IV fluids: No; CKD stage: None; heart failure: No; AKI: No; dialysis: No; eGFR: 17.8 mL/min/1.73m².</x:v>
      </x:c>
      <x:c r="C45" t="n">
        <x:v>79</x:v>
      </x:c>
      <x:c r="D45" t="str">
        <x:v>Male</x:v>
      </x:c>
      <x:c r="E45" t="str">
        <x:v>Not applicable</x:v>
      </x:c>
      <x:c r="F45" t="str">
        <x:v>Sodium</x:v>
      </x:c>
      <x:c r="G45" t="str">
        <x:v>Hyponatraemia</x:v>
      </x:c>
      <x:c r="H45" t="n">
        <x:v>121.6</x:v>
      </x:c>
      <x:c r="I45" t="str">
        <x:v>mmol/L</x:v>
      </x:c>
      <x:c r="J45" s="22" t="str">
        <x:v>General adult presentation</x:v>
      </x:c>
      <x:c r="K45" s="22" t="str">
        <x:v>No</x:v>
      </x:c>
      <x:c r="L45" s="22" t="str">
        <x:v>No</x:v>
      </x:c>
      <x:c r="M45" s="22" t="n">
        <x:v>121.2</x:v>
      </x:c>
      <x:c r="N45" s="22" t="str">
        <x:v>None</x:v>
      </x:c>
      <x:c r="O45" s="22" t="str">
        <x:v>No</x:v>
      </x:c>
      <x:c r="P45" s="22" t="str">
        <x:v>No</x:v>
      </x:c>
      <x:c r="Q45" s="22" t="str">
        <x:v>Not applicable</x:v>
      </x:c>
      <x:c r="R45" s="22" t="str">
        <x:v>Not applicable</x:v>
      </x:c>
      <x:c r="S45" s="22" t="str">
        <x:v>No</x:v>
      </x:c>
      <x:c r="T45" s="22" t="str">
        <x:v>No</x:v>
      </x:c>
      <x:c r="U45" s="22" t="str">
        <x:v>No</x:v>
      </x:c>
      <x:c r="V45" s="22" t="str">
        <x:v>headache</x:v>
      </x:c>
      <x:c r="W45" s="22" t="str">
        <x:v>No</x:v>
      </x:c>
      <x:c r="X45" s="22" t="str">
        <x:v>Euvolaemic</x:v>
      </x:c>
      <x:c r="Y45" s="22" t="n">
        <x:v>17.8</x:v>
      </x:c>
      <x:c r="Z45" s="22" t="str">
        <x:v>NICE-UNSUPPORTED-001</x:v>
      </x:c>
      <x:c r="AA45" s="22" t="str">
        <x:v>No definitive NICE-only management</x:v>
      </x:c>
      <x:c r="AB45" s="22" t="str">
        <x:v>Clinical review required</x:v>
      </x:c>
      <x:c r="AC45" s="22" t="str">
        <x:v>No definitive NICE-only management output</x:v>
      </x:c>
      <x:c r="AD45" s="22" t="str">
        <x:v>Do not generate treatment instructions. Display that an approved local protocol or specialist review is required.</x:v>
      </x:c>
      <x:c r="AE45" s="22" t="str">
        <x:v>This is a safety rule, not a treatment recommendation.</x:v>
      </x:c>
      <x:c r="AF45" s="22" t="str"/>
      <x:c r="AG45" s="22" t="str"/>
      <x:c r="AH45" s="22" t="str">
        <x:v>Hyponatraemia adult General adult presentation guideline systematic review clinical review</x:v>
      </x:c>
      <x:c r="AI45" s="22" t="str">
        <x:v>train</x:v>
      </x:c>
      <x:c r="AJ45" s="22" t="str">
        <x:v>Yes</x:v>
      </x:c>
      <x:c r="AK45" s="22" t="str">
        <x:v>Pending</x:v>
      </x:c>
    </x:row>
    <x:row r="46">
      <x:c r="A46" t="str">
        <x:v>CASE-0859</x:v>
      </x:c>
      <x:c r="B46" s="22" t="str">
        <x:v>52-year-old male with no detected potassium abnormality. Potassium is 4.17 mmol/L. General adult presentation.</x:v>
      </x:c>
      <x:c r="C46" t="n">
        <x:v>52</x:v>
      </x:c>
      <x:c r="D46" t="str">
        <x:v>Male</x:v>
      </x:c>
      <x:c r="E46" t="str">
        <x:v>Not applicable</x:v>
      </x:c>
      <x:c r="F46" t="str">
        <x:v>Potassium</x:v>
      </x:c>
      <x:c r="G46" t="str">
        <x:v>No abnormality detected</x:v>
      </x:c>
      <x:c r="H46" t="n">
        <x:v>4.17</x:v>
      </x:c>
      <x:c r="I46" t="str">
        <x:v>mmol/L</x:v>
      </x:c>
      <x:c r="J46" s="22" t="str">
        <x:v>General adult presentation</x:v>
      </x:c>
      <x:c r="K46" s="22" t="str">
        <x:v>No</x:v>
      </x:c>
      <x:c r="L46" s="22" t="str">
        <x:v>No</x:v>
      </x:c>
      <x:c r="M46" s="22" t="n">
        <x:v>4.17</x:v>
      </x:c>
      <x:c r="N46" s="22" t="str">
        <x:v>None</x:v>
      </x:c>
      <x:c r="O46" s="22" t="str">
        <x:v>No</x:v>
      </x:c>
      <x:c r="P46" s="22" t="str">
        <x:v>No</x:v>
      </x:c>
      <x:c r="Q46" s="22" t="str">
        <x:v>Not applicable</x:v>
      </x:c>
      <x:c r="R46" s="22" t="str">
        <x:v>Not applicable</x:v>
      </x:c>
      <x:c r="S46" s="22" t="str">
        <x:v>No</x:v>
      </x:c>
      <x:c r="T46" s="22" t="str">
        <x:v>No</x:v>
      </x:c>
      <x:c r="U46" s="22" t="str">
        <x:v>No</x:v>
      </x:c>
      <x:c r="V46" s="22" t="str">
        <x:v>None reported</x:v>
      </x:c>
      <x:c r="W46" s="22" t="str">
        <x:v>No</x:v>
      </x:c>
      <x:c r="X46" s="22" t="str">
        <x:v>Euvolaemic</x:v>
      </x:c>
      <x:c r="Y46" s="22" t="n">
        <x:v>103.5</x:v>
      </x:c>
      <x:c r="Z46" s="22" t="str">
        <x:v>NICE-GLOBAL-ASSESS-001</x:v>
      </x:c>
      <x:c r="AA46" s="22" t="str">
        <x:v>General NICE assessment only</x:v>
      </x:c>
      <x:c r="AB46" s="22" t="str">
        <x:v>Routine review</x:v>
      </x:c>
      <x:c r="AC46" s="22" t="str">
        <x:v>No abnormality-specific management</x:v>
      </x:c>
      <x:c r="AD46" s="22" t="str">
        <x:v>No electrolyte abnormality is detected by the synthetic reference range; interpret the result with the full clinical picture.</x:v>
      </x:c>
      <x:c r="AE46" s="22" t="str">
        <x:v>Synthetic reference ranges are not NICE management thresholds.</x:v>
      </x:c>
      <x:c r="AF46" s="22" t="str">
        <x:v>NICE-CG174</x:v>
      </x:c>
      <x:c r="AG46" s="22" t="str">
        <x:v>1.1.1 and 1.2.2</x:v>
      </x:c>
      <x:c r="AH46" s="22" t="str">
        <x:v>Potassium reference interval adult laboratory interpretation</x:v>
      </x:c>
      <x:c r="AI46" s="22" t="str">
        <x:v>train</x:v>
      </x:c>
      <x:c r="AJ46" s="22" t="str">
        <x:v>Yes</x:v>
      </x:c>
      <x:c r="AK46" s="22" t="str">
        <x:v>Pending</x:v>
      </x:c>
    </x:row>
    <x:row r="47">
      <x:c r="A47" t="str">
        <x:v>CASE-0682</x:v>
      </x:c>
      <x:c r="B47" s="22" t="str">
        <x:v>69-year-old male with hypomagnesaemia. Magnesium is 0.49 mmol/L; baseline is 0.6 mmol/L. Context: General adult presentation. Symptoms: cramps, tremor. IV fluids: No; CKD stage: None; heart failure: No; AKI: No; dialysis: No; eGFR: 56.4 mL/min/1.73m².</x:v>
      </x:c>
      <x:c r="C47" t="n">
        <x:v>69</x:v>
      </x:c>
      <x:c r="D47" t="str">
        <x:v>Male</x:v>
      </x:c>
      <x:c r="E47" t="str">
        <x:v>Not applicable</x:v>
      </x:c>
      <x:c r="F47" t="str">
        <x:v>Magnesium</x:v>
      </x:c>
      <x:c r="G47" t="str">
        <x:v>Hypomagnesaemia</x:v>
      </x:c>
      <x:c r="H47" t="n">
        <x:v>0.49</x:v>
      </x:c>
      <x:c r="I47" t="str">
        <x:v>mmol/L</x:v>
      </x:c>
      <x:c r="J47" s="22" t="str">
        <x:v>General adult presentation</x:v>
      </x:c>
      <x:c r="K47" s="22" t="str">
        <x:v>No</x:v>
      </x:c>
      <x:c r="L47" s="22" t="str">
        <x:v>No</x:v>
      </x:c>
      <x:c r="M47" s="22" t="n">
        <x:v>0.6</x:v>
      </x:c>
      <x:c r="N47" s="22" t="str">
        <x:v>None</x:v>
      </x:c>
      <x:c r="O47" s="22" t="str">
        <x:v>No</x:v>
      </x:c>
      <x:c r="P47" s="22" t="str">
        <x:v>No</x:v>
      </x:c>
      <x:c r="Q47" s="22" t="str">
        <x:v>Not applicable</x:v>
      </x:c>
      <x:c r="R47" s="22" t="str">
        <x:v>Not applicable</x:v>
      </x:c>
      <x:c r="S47" s="22" t="str">
        <x:v>No</x:v>
      </x:c>
      <x:c r="T47" s="22" t="str">
        <x:v>No</x:v>
      </x:c>
      <x:c r="U47" s="22" t="str">
        <x:v>No</x:v>
      </x:c>
      <x:c r="V47" s="22" t="str">
        <x:v>cramps, tremor</x:v>
      </x:c>
      <x:c r="W47" s="22" t="str">
        <x:v>No</x:v>
      </x:c>
      <x:c r="X47" s="22" t="str">
        <x:v>Euvolaemic</x:v>
      </x:c>
      <x:c r="Y47" s="22" t="n">
        <x:v>56.4</x:v>
      </x:c>
      <x:c r="Z47" s="22" t="str">
        <x:v>NICE-UNSUPPORTED-001</x:v>
      </x:c>
      <x:c r="AA47" s="22" t="str">
        <x:v>No definitive NICE-only management</x:v>
      </x:c>
      <x:c r="AB47" s="22" t="str">
        <x:v>Clinical review required</x:v>
      </x:c>
      <x:c r="AC47" s="22" t="str">
        <x:v>No definitive NICE-only management output</x:v>
      </x:c>
      <x:c r="AD47" s="22" t="str">
        <x:v>Do not generate treatment instructions. Display that an approved local protocol or specialist review is required.</x:v>
      </x:c>
      <x:c r="AE47" s="22" t="str">
        <x:v>This is a safety rule, not a treatment recommendation.</x:v>
      </x:c>
      <x:c r="AF47" s="22" t="str"/>
      <x:c r="AG47" s="22" t="str"/>
      <x:c r="AH47" s="22" t="str">
        <x:v>Hypomagnesaemia adult General adult presentation guideline systematic review clinical review</x:v>
      </x:c>
      <x:c r="AI47" s="22" t="str">
        <x:v>train</x:v>
      </x:c>
      <x:c r="AJ47" s="22" t="str">
        <x:v>Yes</x:v>
      </x:c>
      <x:c r="AK47" s="22" t="str">
        <x:v>Pending</x:v>
      </x:c>
    </x:row>
    <x:row r="48">
      <x:c r="A48" t="str">
        <x:v>CASE-0981</x:v>
      </x:c>
      <x:c r="B48" s="22" t="str">
        <x:v>24-year-old male with no detected magnesium abnormality. Magnesium is 0.95 mmol/L. General adult presentation.</x:v>
      </x:c>
      <x:c r="C48" t="n">
        <x:v>24</x:v>
      </x:c>
      <x:c r="D48" t="str">
        <x:v>Male</x:v>
      </x:c>
      <x:c r="E48" t="str">
        <x:v>Not applicable</x:v>
      </x:c>
      <x:c r="F48" t="str">
        <x:v>Magnesium</x:v>
      </x:c>
      <x:c r="G48" t="str">
        <x:v>No abnormality detected</x:v>
      </x:c>
      <x:c r="H48" t="n">
        <x:v>0.95</x:v>
      </x:c>
      <x:c r="I48" t="str">
        <x:v>mmol/L</x:v>
      </x:c>
      <x:c r="J48" s="22" t="str">
        <x:v>General adult presentation</x:v>
      </x:c>
      <x:c r="K48" s="22" t="str">
        <x:v>No</x:v>
      </x:c>
      <x:c r="L48" s="22" t="str">
        <x:v>No</x:v>
      </x:c>
      <x:c r="M48" s="22" t="n">
        <x:v>0.95</x:v>
      </x:c>
      <x:c r="N48" s="22" t="str">
        <x:v>None</x:v>
      </x:c>
      <x:c r="O48" s="22" t="str">
        <x:v>No</x:v>
      </x:c>
      <x:c r="P48" s="22" t="str">
        <x:v>No</x:v>
      </x:c>
      <x:c r="Q48" s="22" t="str">
        <x:v>Not applicable</x:v>
      </x:c>
      <x:c r="R48" s="22" t="str">
        <x:v>Not applicable</x:v>
      </x:c>
      <x:c r="S48" s="22" t="str">
        <x:v>No</x:v>
      </x:c>
      <x:c r="T48" s="22" t="str">
        <x:v>No</x:v>
      </x:c>
      <x:c r="U48" s="22" t="str">
        <x:v>No</x:v>
      </x:c>
      <x:c r="V48" s="22" t="str">
        <x:v>None reported</x:v>
      </x:c>
      <x:c r="W48" s="22" t="str">
        <x:v>No</x:v>
      </x:c>
      <x:c r="X48" s="22" t="str">
        <x:v>Euvolaemic</x:v>
      </x:c>
      <x:c r="Y48" s="22" t="n">
        <x:v>106.1</x:v>
      </x:c>
      <x:c r="Z48" s="22" t="str">
        <x:v>NICE-GLOBAL-ASSESS-001</x:v>
      </x:c>
      <x:c r="AA48" s="22" t="str">
        <x:v>General NICE assessment only</x:v>
      </x:c>
      <x:c r="AB48" s="22" t="str">
        <x:v>Routine review</x:v>
      </x:c>
      <x:c r="AC48" s="22" t="str">
        <x:v>No abnormality-specific management</x:v>
      </x:c>
      <x:c r="AD48" s="22" t="str">
        <x:v>No electrolyte abnormality is detected by the synthetic reference range; interpret the result with the full clinical picture.</x:v>
      </x:c>
      <x:c r="AE48" s="22" t="str">
        <x:v>Synthetic reference ranges are not NICE management thresholds.</x:v>
      </x:c>
      <x:c r="AF48" s="22" t="str">
        <x:v>NICE-CG174</x:v>
      </x:c>
      <x:c r="AG48" s="22" t="str">
        <x:v>1.1.1 and 1.2.2</x:v>
      </x:c>
      <x:c r="AH48" s="22" t="str">
        <x:v>Magnesium reference interval adult laboratory interpretation</x:v>
      </x:c>
      <x:c r="AI48" s="22" t="str">
        <x:v>train</x:v>
      </x:c>
      <x:c r="AJ48" s="22" t="str">
        <x:v>Yes</x:v>
      </x:c>
      <x:c r="AK48" s="22" t="str">
        <x:v>Pending</x:v>
      </x:c>
    </x:row>
    <x:row r="49">
      <x:c r="A49" t="str">
        <x:v>CASE-0769</x:v>
      </x:c>
      <x:c r="B49" s="22" t="str">
        <x:v>58-year-old female with hypermagnesaemia. Magnesium is 1.28 mmol/L; baseline is 3.73 mmol/L. Context: General adult presentation. Symptoms: weakness. IV fluids: No; CKD stage: None; heart failure: No; AKI: No; dialysis: No; eGFR: 64.0 mL/min/1.73m².</x:v>
      </x:c>
      <x:c r="C49" t="n">
        <x:v>58</x:v>
      </x:c>
      <x:c r="D49" t="str">
        <x:v>Female</x:v>
      </x:c>
      <x:c r="E49" t="str">
        <x:v>Not applicable</x:v>
      </x:c>
      <x:c r="F49" t="str">
        <x:v>Magnesium</x:v>
      </x:c>
      <x:c r="G49" t="str">
        <x:v>Hypermagnesaemia</x:v>
      </x:c>
      <x:c r="H49" t="n">
        <x:v>1.28</x:v>
      </x:c>
      <x:c r="I49" t="str">
        <x:v>mmol/L</x:v>
      </x:c>
      <x:c r="J49" s="22" t="str">
        <x:v>General adult presentation</x:v>
      </x:c>
      <x:c r="K49" s="22" t="str">
        <x:v>No</x:v>
      </x:c>
      <x:c r="L49" s="22" t="str">
        <x:v>No</x:v>
      </x:c>
      <x:c r="M49" s="22" t="n">
        <x:v>3.73</x:v>
      </x:c>
      <x:c r="N49" s="22" t="str">
        <x:v>None</x:v>
      </x:c>
      <x:c r="O49" s="22" t="str">
        <x:v>No</x:v>
      </x:c>
      <x:c r="P49" s="22" t="str">
        <x:v>No</x:v>
      </x:c>
      <x:c r="Q49" s="22" t="str">
        <x:v>Not applicable</x:v>
      </x:c>
      <x:c r="R49" s="22" t="str">
        <x:v>Not applicable</x:v>
      </x:c>
      <x:c r="S49" s="22" t="str">
        <x:v>No</x:v>
      </x:c>
      <x:c r="T49" s="22" t="str">
        <x:v>No</x:v>
      </x:c>
      <x:c r="U49" s="22" t="str">
        <x:v>No</x:v>
      </x:c>
      <x:c r="V49" s="22" t="str">
        <x:v>weakness</x:v>
      </x:c>
      <x:c r="W49" s="22" t="str">
        <x:v>No</x:v>
      </x:c>
      <x:c r="X49" s="22" t="str">
        <x:v>Hypovolaemic</x:v>
      </x:c>
      <x:c r="Y49" s="22" t="n">
        <x:v>64</x:v>
      </x:c>
      <x:c r="Z49" s="22" t="str">
        <x:v>NICE-UNSUPPORTED-001</x:v>
      </x:c>
      <x:c r="AA49" s="22" t="str">
        <x:v>No definitive NICE-only management</x:v>
      </x:c>
      <x:c r="AB49" s="22" t="str">
        <x:v>Clinical review required</x:v>
      </x:c>
      <x:c r="AC49" s="22" t="str">
        <x:v>No definitive NICE-only management output</x:v>
      </x:c>
      <x:c r="AD49" s="22" t="str">
        <x:v>Do not generate treatment instructions. Display that an approved local protocol or specialist review is required.</x:v>
      </x:c>
      <x:c r="AE49" s="22" t="str">
        <x:v>This is a safety rule, not a treatment recommendation.</x:v>
      </x:c>
      <x:c r="AF49" s="22" t="str"/>
      <x:c r="AG49" s="22" t="str"/>
      <x:c r="AH49" s="22" t="str">
        <x:v>Hypermagnesaemia adult General adult presentation guideline systematic review clinical review</x:v>
      </x:c>
      <x:c r="AI49" s="22" t="str">
        <x:v>train</x:v>
      </x:c>
      <x:c r="AJ49" s="22" t="str">
        <x:v>Yes</x:v>
      </x:c>
      <x:c r="AK49" s="22" t="str">
        <x:v>Pending</x:v>
      </x:c>
    </x:row>
    <x:row r="50">
      <x:c r="A50" t="str">
        <x:v>CASE-0575</x:v>
      </x:c>
      <x:c r="B50" s="22" t="str">
        <x:v>37-year-old male with hypercalcaemia. Adjusted calcium is 2.71 mmol/L; baseline is 3.56 mmol/L. Context: Confirmed primary hyperparathyroidism. Symptoms: polyuria. IV fluids: No; CKD stage: None; heart failure: No; AKI: No; dialysis: No; eGFR: 102.9 mL/min/1.73m².</x:v>
      </x:c>
      <x:c r="C50" t="n">
        <x:v>37</x:v>
      </x:c>
      <x:c r="D50" t="str">
        <x:v>Male</x:v>
      </x:c>
      <x:c r="E50" t="str">
        <x:v>Not applicable</x:v>
      </x:c>
      <x:c r="F50" t="str">
        <x:v>Adjusted calcium</x:v>
      </x:c>
      <x:c r="G50" t="str">
        <x:v>Hypercalcaemia</x:v>
      </x:c>
      <x:c r="H50" t="n">
        <x:v>2.71</x:v>
      </x:c>
      <x:c r="I50" t="str">
        <x:v>mmol/L</x:v>
      </x:c>
      <x:c r="J50" s="22" t="str">
        <x:v>Confirmed primary hyperparathyroidism</x:v>
      </x:c>
      <x:c r="K50" s="22" t="str">
        <x:v>No</x:v>
      </x:c>
      <x:c r="L50" s="22" t="str">
        <x:v>No</x:v>
      </x:c>
      <x:c r="M50" s="22" t="n">
        <x:v>3.56</x:v>
      </x:c>
      <x:c r="N50" s="22" t="str">
        <x:v>None</x:v>
      </x:c>
      <x:c r="O50" s="22" t="str">
        <x:v>No</x:v>
      </x:c>
      <x:c r="P50" s="22" t="str">
        <x:v>No</x:v>
      </x:c>
      <x:c r="Q50" s="22" t="str">
        <x:v>Not applicable</x:v>
      </x:c>
      <x:c r="R50" s="22" t="str">
        <x:v>Not applicable</x:v>
      </x:c>
      <x:c r="S50" s="22" t="str">
        <x:v>No</x:v>
      </x:c>
      <x:c r="T50" s="22" t="str">
        <x:v>Yes</x:v>
      </x:c>
      <x:c r="U50" s="22" t="str">
        <x:v>No</x:v>
      </x:c>
      <x:c r="V50" s="22" t="str">
        <x:v>polyuria</x:v>
      </x:c>
      <x:c r="W50" s="22" t="str">
        <x:v>No</x:v>
      </x:c>
      <x:c r="X50" s="22" t="str">
        <x:v>Hypovolaemic</x:v>
      </x:c>
      <x:c r="Y50" s="22" t="n">
        <x:v>102.9</x:v>
      </x:c>
      <x:c r="Z50" s="22" t="str">
        <x:v>NICE-CA-PHPT-REFER-001</x:v>
      </x:c>
      <x:c r="AA50" s="22" t="str">
        <x:v>Specific context-based NICE guidance</x:v>
      </x:c>
      <x:c r="AB50" s="22" t="str">
        <x:v>Specialist surgical referral</x:v>
      </x:c>
      <x:c r="AC50" s="22" t="str">
        <x:v>Specific NICE referral guidance</x:v>
      </x:c>
      <x:c r="AD50" s="22" t="str">
        <x:v>Refer to a surgeon with expertise in parathyroid surgery when one or more stated NICE criteria are present.</x:v>
      </x:c>
      <x:c r="AE50" s="22" t="str">
        <x:v>Applies only to confirmed primary hyperparathyroidism.</x:v>
      </x:c>
      <x:c r="AF50" s="22" t="str">
        <x:v>NICE-NG132</x:v>
      </x:c>
      <x:c r="AG50" s="22" t="str">
        <x:v>1.3.1 and 1.3.2</x:v>
      </x:c>
      <x:c r="AH50" s="22" t="str">
        <x:v>Hypercalcaemia adult Confirmed primary hyperparathyroidism guideline systematic review clinical review</x:v>
      </x:c>
      <x:c r="AI50" s="22" t="str">
        <x:v>train</x:v>
      </x:c>
      <x:c r="AJ50" s="22" t="str">
        <x:v>Yes</x:v>
      </x:c>
      <x:c r="AK50" s="22" t="str">
        <x:v>Pending</x:v>
      </x:c>
    </x:row>
    <x:row r="51">
      <x:c r="A51" t="str">
        <x:v>CASE-0169</x:v>
      </x:c>
      <x:c r="B51" s="22" t="str">
        <x:v>38-year-old female with hypernatraemia. Sodium is 151.1 mmol/L; baseline is 170.4 mmol/L. Context: General adult presentation. Symptoms: confusion. IV fluids: No; CKD stage: None; heart failure: No; AKI: No; dialysis: No; eGFR: 79.1 mL/min/1.73m².</x:v>
      </x:c>
      <x:c r="C51" t="n">
        <x:v>38</x:v>
      </x:c>
      <x:c r="D51" t="str">
        <x:v>Female</x:v>
      </x:c>
      <x:c r="E51" t="str">
        <x:v>Not pregnant</x:v>
      </x:c>
      <x:c r="F51" t="str">
        <x:v>Sodium</x:v>
      </x:c>
      <x:c r="G51" t="str">
        <x:v>Hypernatraemia</x:v>
      </x:c>
      <x:c r="H51" t="n">
        <x:v>151.1</x:v>
      </x:c>
      <x:c r="I51" t="str">
        <x:v>mmol/L</x:v>
      </x:c>
      <x:c r="J51" s="22" t="str">
        <x:v>General adult presentation</x:v>
      </x:c>
      <x:c r="K51" s="22" t="str">
        <x:v>No</x:v>
      </x:c>
      <x:c r="L51" s="22" t="str">
        <x:v>No</x:v>
      </x:c>
      <x:c r="M51" s="22" t="n">
        <x:v>170.4</x:v>
      </x:c>
      <x:c r="N51" s="22" t="str">
        <x:v>None</x:v>
      </x:c>
      <x:c r="O51" s="22" t="str">
        <x:v>No</x:v>
      </x:c>
      <x:c r="P51" s="22" t="str">
        <x:v>No</x:v>
      </x:c>
      <x:c r="Q51" s="22" t="str">
        <x:v>Not applicable</x:v>
      </x:c>
      <x:c r="R51" s="22" t="str">
        <x:v>Not applicable</x:v>
      </x:c>
      <x:c r="S51" s="22" t="str">
        <x:v>No</x:v>
      </x:c>
      <x:c r="T51" s="22" t="str">
        <x:v>No</x:v>
      </x:c>
      <x:c r="U51" s="22" t="str">
        <x:v>No</x:v>
      </x:c>
      <x:c r="V51" s="22" t="str">
        <x:v>confusion</x:v>
      </x:c>
      <x:c r="W51" s="22" t="str">
        <x:v>No</x:v>
      </x:c>
      <x:c r="X51" s="22" t="str">
        <x:v>Euvolaemic</x:v>
      </x:c>
      <x:c r="Y51" s="22" t="n">
        <x:v>79.1</x:v>
      </x:c>
      <x:c r="Z51" s="22" t="str">
        <x:v>NICE-UNSUPPORTED-001</x:v>
      </x:c>
      <x:c r="AA51" s="22" t="str">
        <x:v>No definitive NICE-only management</x:v>
      </x:c>
      <x:c r="AB51" s="22" t="str">
        <x:v>Clinical review required</x:v>
      </x:c>
      <x:c r="AC51" s="22" t="str">
        <x:v>No definitive NICE-only management output</x:v>
      </x:c>
      <x:c r="AD51" s="22" t="str">
        <x:v>Do not generate treatment instructions. Display that an approved local protocol or specialist review is required.</x:v>
      </x:c>
      <x:c r="AE51" s="22" t="str">
        <x:v>This is a safety rule, not a treatment recommendation.</x:v>
      </x:c>
      <x:c r="AF51" s="22" t="str"/>
      <x:c r="AG51" s="22" t="str"/>
      <x:c r="AH51" s="22" t="str">
        <x:v>Hypernatraemia adult General adult presentation guideline systematic review clinical review</x:v>
      </x:c>
      <x:c r="AI51" s="22" t="str">
        <x:v>train</x:v>
      </x:c>
      <x:c r="AJ51" s="22" t="str">
        <x:v>Yes</x:v>
      </x:c>
      <x:c r="AK51" s="22" t="str">
        <x:v>Pending</x:v>
      </x:c>
    </x:row>
    <x:row r="52">
      <x:c r="A52" t="str">
        <x:v>CASE-0363</x:v>
      </x:c>
      <x:c r="B52" s="22" t="str">
        <x:v>38-year-old male with hyperkalaemia. Potassium is 5.71 mmol/L; baseline is 5.27 mmol/L. Context: CKD RAAS monitoring. Symptoms: nausea, weakness. IV fluids: No; CKD stage: 5; heart failure: No; AKI: No; dialysis: No; eGFR: 17.0 mL/min/1.73m².</x:v>
      </x:c>
      <x:c r="C52" t="n">
        <x:v>38</x:v>
      </x:c>
      <x:c r="D52" t="str">
        <x:v>Male</x:v>
      </x:c>
      <x:c r="E52" t="str">
        <x:v>Not applicable</x:v>
      </x:c>
      <x:c r="F52" t="str">
        <x:v>Potassium</x:v>
      </x:c>
      <x:c r="G52" t="str">
        <x:v>Hyperkalaemia</x:v>
      </x:c>
      <x:c r="H52" t="n">
        <x:v>5.71</x:v>
      </x:c>
      <x:c r="I52" t="str">
        <x:v>mmol/L</x:v>
      </x:c>
      <x:c r="J52" s="22" t="str">
        <x:v>CKD RAAS monitoring</x:v>
      </x:c>
      <x:c r="K52" s="22" t="str">
        <x:v>No</x:v>
      </x:c>
      <x:c r="L52" s="22" t="str">
        <x:v>No</x:v>
      </x:c>
      <x:c r="M52" s="22" t="n">
        <x:v>5.27</x:v>
      </x:c>
      <x:c r="N52" s="22" t="str">
        <x:v>5</x:v>
      </x:c>
      <x:c r="O52" s="22" t="str">
        <x:v>No</x:v>
      </x:c>
      <x:c r="P52" s="22" t="str">
        <x:v>No</x:v>
      </x:c>
      <x:c r="Q52" s="22" t="str">
        <x:v>Starting</x:v>
      </x:c>
      <x:c r="R52" s="22" t="str">
        <x:v>Not applicable</x:v>
      </x:c>
      <x:c r="S52" s="22" t="str">
        <x:v>No</x:v>
      </x:c>
      <x:c r="T52" s="22" t="str">
        <x:v>No</x:v>
      </x:c>
      <x:c r="U52" s="22" t="str">
        <x:v>No</x:v>
      </x:c>
      <x:c r="V52" s="22" t="str">
        <x:v>nausea, weakness</x:v>
      </x:c>
      <x:c r="W52" s="22" t="str">
        <x:v>No</x:v>
      </x:c>
      <x:c r="X52" s="22" t="str">
        <x:v>Uncertain</x:v>
      </x:c>
      <x:c r="Y52" s="22" t="n">
        <x:v>17</x:v>
      </x:c>
      <x:c r="Z52" s="22" t="str">
        <x:v>NICE-K-CKD-MONITOR-001</x:v>
      </x:c>
      <x:c r="AA52" s="22" t="str">
        <x:v>Specific context-based NICE guidance</x:v>
      </x:c>
      <x:c r="AB52" s="22" t="str">
        <x:v>Scheduled monitoring</x:v>
      </x:c>
      <x:c r="AC52" s="22" t="str">
        <x:v>Specific NICE monitoring guidance</x:v>
      </x:c>
      <x:c r="AD52" s="22" t="str">
        <x:v>Measure serum potassium and eGFR before treatment and repeat between 1 and 2 weeks after starting or each dose increase.</x:v>
      </x:c>
      <x:c r="AE52" s="22" t="str">
        <x:v>Use clinical judgement for more frequent monitoring and special populations.</x:v>
      </x:c>
      <x:c r="AF52" s="22" t="str">
        <x:v>NICE-NG203</x:v>
      </x:c>
      <x:c r="AG52" s="22" t="str">
        <x:v>1.6.15 and 1.6.18</x:v>
      </x:c>
      <x:c r="AH52" s="22" t="str">
        <x:v>Hyperkalaemia adult CKD RAAS monitoring guideline systematic review clinical review</x:v>
      </x:c>
      <x:c r="AI52" s="22" t="str">
        <x:v>train</x:v>
      </x:c>
      <x:c r="AJ52" s="22" t="str">
        <x:v>Yes</x:v>
      </x:c>
      <x:c r="AK52" s="22" t="str">
        <x:v>Pending</x:v>
      </x:c>
    </x:row>
    <x:row r="53">
      <x:c r="A53" t="str">
        <x:v>CASE-0417</x:v>
      </x:c>
      <x:c r="B53" s="22" t="str">
        <x:v>63-year-old male with hypocalcaemia. Adjusted calcium is 1.79 mmol/L; baseline is 1.85 mmol/L. Context: General adult presentation. Symptoms: tingling. IV fluids: No; CKD stage: None; heart failure: No; AKI: No; dialysis: No; eGFR: 74.5 mL/min/1.73m².</x:v>
      </x:c>
      <x:c r="C53" t="n">
        <x:v>63</x:v>
      </x:c>
      <x:c r="D53" t="str">
        <x:v>Male</x:v>
      </x:c>
      <x:c r="E53" t="str">
        <x:v>Not applicable</x:v>
      </x:c>
      <x:c r="F53" t="str">
        <x:v>Adjusted calcium</x:v>
      </x:c>
      <x:c r="G53" t="str">
        <x:v>Hypocalcaemia</x:v>
      </x:c>
      <x:c r="H53" t="n">
        <x:v>1.79</x:v>
      </x:c>
      <x:c r="I53" t="str">
        <x:v>mmol/L</x:v>
      </x:c>
      <x:c r="J53" s="22" t="str">
        <x:v>General adult presentation</x:v>
      </x:c>
      <x:c r="K53" s="22" t="str">
        <x:v>No</x:v>
      </x:c>
      <x:c r="L53" s="22" t="str">
        <x:v>No</x:v>
      </x:c>
      <x:c r="M53" s="22" t="n">
        <x:v>1.85</x:v>
      </x:c>
      <x:c r="N53" s="22" t="str">
        <x:v>None</x:v>
      </x:c>
      <x:c r="O53" s="22" t="str">
        <x:v>No</x:v>
      </x:c>
      <x:c r="P53" s="22" t="str">
        <x:v>No</x:v>
      </x:c>
      <x:c r="Q53" s="22" t="str">
        <x:v>Not applicable</x:v>
      </x:c>
      <x:c r="R53" s="22" t="str">
        <x:v>Not applicable</x:v>
      </x:c>
      <x:c r="S53" s="22" t="str">
        <x:v>No</x:v>
      </x:c>
      <x:c r="T53" s="22" t="str">
        <x:v>No</x:v>
      </x:c>
      <x:c r="U53" s="22" t="str">
        <x:v>No</x:v>
      </x:c>
      <x:c r="V53" s="22" t="str">
        <x:v>tingling</x:v>
      </x:c>
      <x:c r="W53" s="22" t="str">
        <x:v>No</x:v>
      </x:c>
      <x:c r="X53" s="22" t="str">
        <x:v>Euvolaemic</x:v>
      </x:c>
      <x:c r="Y53" s="22" t="n">
        <x:v>74.5</x:v>
      </x:c>
      <x:c r="Z53" s="22" t="str">
        <x:v>NICE-UNSUPPORTED-001</x:v>
      </x:c>
      <x:c r="AA53" s="22" t="str">
        <x:v>No definitive NICE-only management</x:v>
      </x:c>
      <x:c r="AB53" s="22" t="str">
        <x:v>Clinical review required</x:v>
      </x:c>
      <x:c r="AC53" s="22" t="str">
        <x:v>No definitive NICE-only management output</x:v>
      </x:c>
      <x:c r="AD53" s="22" t="str">
        <x:v>Do not generate treatment instructions. Display that an approved local protocol or specialist review is required.</x:v>
      </x:c>
      <x:c r="AE53" s="22" t="str">
        <x:v>This is a safety rule, not a treatment recommendation.</x:v>
      </x:c>
      <x:c r="AF53" s="22" t="str"/>
      <x:c r="AG53" s="22" t="str"/>
      <x:c r="AH53" s="22" t="str">
        <x:v>Hypocalcaemia adult General adult presentation guideline systematic review clinical review</x:v>
      </x:c>
      <x:c r="AI53" s="22" t="str">
        <x:v>train</x:v>
      </x:c>
      <x:c r="AJ53" s="22" t="str">
        <x:v>Yes</x:v>
      </x:c>
      <x:c r="AK53" s="22" t="str">
        <x:v>Pending</x:v>
      </x:c>
    </x:row>
    <x:row r="54">
      <x:c r="A54" t="str">
        <x:v>CASE-0034</x:v>
      </x:c>
      <x:c r="B54" s="22" t="str">
        <x:v>89-year-old female with hyponatraemia. Sodium is 125.4 mmol/L; baseline is 122.3 mmol/L. Context: General adult presentation. Symptoms: headache. IV fluids: No; CKD stage: None; heart failure: No; AKI: No; dialysis: No; eGFR: 100.1 mL/min/1.73m².</x:v>
      </x:c>
      <x:c r="C54" t="n">
        <x:v>89</x:v>
      </x:c>
      <x:c r="D54" t="str">
        <x:v>Female</x:v>
      </x:c>
      <x:c r="E54" t="str">
        <x:v>Not applicable</x:v>
      </x:c>
      <x:c r="F54" t="str">
        <x:v>Sodium</x:v>
      </x:c>
      <x:c r="G54" t="str">
        <x:v>Hyponatraemia</x:v>
      </x:c>
      <x:c r="H54" t="n">
        <x:v>125.4</x:v>
      </x:c>
      <x:c r="I54" t="str">
        <x:v>mmol/L</x:v>
      </x:c>
      <x:c r="J54" s="22" t="str">
        <x:v>General adult presentation</x:v>
      </x:c>
      <x:c r="K54" s="22" t="str">
        <x:v>No</x:v>
      </x:c>
      <x:c r="L54" s="22" t="str">
        <x:v>No</x:v>
      </x:c>
      <x:c r="M54" s="22" t="n">
        <x:v>122.3</x:v>
      </x:c>
      <x:c r="N54" s="22" t="str">
        <x:v>None</x:v>
      </x:c>
      <x:c r="O54" s="22" t="str">
        <x:v>No</x:v>
      </x:c>
      <x:c r="P54" s="22" t="str">
        <x:v>No</x:v>
      </x:c>
      <x:c r="Q54" s="22" t="str">
        <x:v>Not applicable</x:v>
      </x:c>
      <x:c r="R54" s="22" t="str">
        <x:v>Not applicable</x:v>
      </x:c>
      <x:c r="S54" s="22" t="str">
        <x:v>No</x:v>
      </x:c>
      <x:c r="T54" s="22" t="str">
        <x:v>No</x:v>
      </x:c>
      <x:c r="U54" s="22" t="str">
        <x:v>No</x:v>
      </x:c>
      <x:c r="V54" s="22" t="str">
        <x:v>headache</x:v>
      </x:c>
      <x:c r="W54" s="22" t="str">
        <x:v>No</x:v>
      </x:c>
      <x:c r="X54" s="22" t="str">
        <x:v>Hypervolaemic</x:v>
      </x:c>
      <x:c r="Y54" s="22" t="n">
        <x:v>100.1</x:v>
      </x:c>
      <x:c r="Z54" s="22" t="str">
        <x:v>NICE-UNSUPPORTED-001</x:v>
      </x:c>
      <x:c r="AA54" s="22" t="str">
        <x:v>No definitive NICE-only management</x:v>
      </x:c>
      <x:c r="AB54" s="22" t="str">
        <x:v>Clinical review required</x:v>
      </x:c>
      <x:c r="AC54" s="22" t="str">
        <x:v>No definitive NICE-only management output</x:v>
      </x:c>
      <x:c r="AD54" s="22" t="str">
        <x:v>Do not generate treatment instructions. Display that an approved local protocol or specialist review is required.</x:v>
      </x:c>
      <x:c r="AE54" s="22" t="str">
        <x:v>This is a safety rule, not a treatment recommendation.</x:v>
      </x:c>
      <x:c r="AF54" s="22" t="str"/>
      <x:c r="AG54" s="22" t="str"/>
      <x:c r="AH54" s="22" t="str">
        <x:v>Hyponatraemia adult General adult presentation guideline systematic review clinical review</x:v>
      </x:c>
      <x:c r="AI54" s="22" t="str">
        <x:v>train</x:v>
      </x:c>
      <x:c r="AJ54" s="22" t="str">
        <x:v>Yes</x:v>
      </x:c>
      <x:c r="AK54" s="22" t="str">
        <x:v>Pending</x:v>
      </x:c>
    </x:row>
    <x:row r="55">
      <x:c r="A55" t="str">
        <x:v>CASE-0979</x:v>
      </x:c>
      <x:c r="B55" s="22" t="str">
        <x:v>60-year-old female with no detected magnesium abnormality. Magnesium is 0.76 mmol/L. General adult presentation.</x:v>
      </x:c>
      <x:c r="C55" t="n">
        <x:v>60</x:v>
      </x:c>
      <x:c r="D55" t="str">
        <x:v>Female</x:v>
      </x:c>
      <x:c r="E55" t="str">
        <x:v>Not applicable</x:v>
      </x:c>
      <x:c r="F55" t="str">
        <x:v>Magnesium</x:v>
      </x:c>
      <x:c r="G55" t="str">
        <x:v>No abnormality detected</x:v>
      </x:c>
      <x:c r="H55" t="n">
        <x:v>0.76</x:v>
      </x:c>
      <x:c r="I55" t="str">
        <x:v>mmol/L</x:v>
      </x:c>
      <x:c r="J55" s="22" t="str">
        <x:v>General adult presentation</x:v>
      </x:c>
      <x:c r="K55" s="22" t="str">
        <x:v>No</x:v>
      </x:c>
      <x:c r="L55" s="22" t="str">
        <x:v>No</x:v>
      </x:c>
      <x:c r="M55" s="22" t="n">
        <x:v>0.76</x:v>
      </x:c>
      <x:c r="N55" s="22" t="str">
        <x:v>None</x:v>
      </x:c>
      <x:c r="O55" s="22" t="str">
        <x:v>No</x:v>
      </x:c>
      <x:c r="P55" s="22" t="str">
        <x:v>No</x:v>
      </x:c>
      <x:c r="Q55" s="22" t="str">
        <x:v>Not applicable</x:v>
      </x:c>
      <x:c r="R55" s="22" t="str">
        <x:v>Not applicable</x:v>
      </x:c>
      <x:c r="S55" s="22" t="str">
        <x:v>No</x:v>
      </x:c>
      <x:c r="T55" s="22" t="str">
        <x:v>No</x:v>
      </x:c>
      <x:c r="U55" s="22" t="str">
        <x:v>No</x:v>
      </x:c>
      <x:c r="V55" s="22" t="str">
        <x:v>None reported</x:v>
      </x:c>
      <x:c r="W55" s="22" t="str">
        <x:v>No</x:v>
      </x:c>
      <x:c r="X55" s="22" t="str">
        <x:v>Euvolaemic</x:v>
      </x:c>
      <x:c r="Y55" s="22" t="n">
        <x:v>77.2</x:v>
      </x:c>
      <x:c r="Z55" s="22" t="str">
        <x:v>NICE-GLOBAL-ASSESS-001</x:v>
      </x:c>
      <x:c r="AA55" s="22" t="str">
        <x:v>General NICE assessment only</x:v>
      </x:c>
      <x:c r="AB55" s="22" t="str">
        <x:v>Routine review</x:v>
      </x:c>
      <x:c r="AC55" s="22" t="str">
        <x:v>No abnormality-specific management</x:v>
      </x:c>
      <x:c r="AD55" s="22" t="str">
        <x:v>No electrolyte abnormality is detected by the synthetic reference range; interpret the result with the full clinical picture.</x:v>
      </x:c>
      <x:c r="AE55" s="22" t="str">
        <x:v>Synthetic reference ranges are not NICE management thresholds.</x:v>
      </x:c>
      <x:c r="AF55" s="22" t="str">
        <x:v>NICE-CG174</x:v>
      </x:c>
      <x:c r="AG55" s="22" t="str">
        <x:v>1.1.1 and 1.2.2</x:v>
      </x:c>
      <x:c r="AH55" s="22" t="str">
        <x:v>Magnesium reference interval adult laboratory interpretation</x:v>
      </x:c>
      <x:c r="AI55" s="22" t="str">
        <x:v>validation</x:v>
      </x:c>
      <x:c r="AJ55" s="22" t="str">
        <x:v>Yes</x:v>
      </x:c>
      <x:c r="AK55" s="22" t="str">
        <x:v>Pending</x:v>
      </x:c>
    </x:row>
    <x:row r="56">
      <x:c r="A56" t="str">
        <x:v>CASE-0752</x:v>
      </x:c>
      <x:c r="B56" s="22" t="str">
        <x:v>84-year-old female with hypermagnesaemia. Magnesium is 1.26 mmol/L; baseline is 3.73 mmol/L. Context: General adult presentation. Symptoms: confusion. IV fluids: No; CKD stage: None; heart failure: No; AKI: No; dialysis: No; eGFR: 78.3 mL/min/1.73m².</x:v>
      </x:c>
      <x:c r="C56" t="n">
        <x:v>84</x:v>
      </x:c>
      <x:c r="D56" t="str">
        <x:v>Female</x:v>
      </x:c>
      <x:c r="E56" t="str">
        <x:v>Not applicable</x:v>
      </x:c>
      <x:c r="F56" t="str">
        <x:v>Magnesium</x:v>
      </x:c>
      <x:c r="G56" t="str">
        <x:v>Hypermagnesaemia</x:v>
      </x:c>
      <x:c r="H56" t="n">
        <x:v>1.26</x:v>
      </x:c>
      <x:c r="I56" t="str">
        <x:v>mmol/L</x:v>
      </x:c>
      <x:c r="J56" s="22" t="str">
        <x:v>General adult presentation</x:v>
      </x:c>
      <x:c r="K56" s="22" t="str">
        <x:v>No</x:v>
      </x:c>
      <x:c r="L56" s="22" t="str">
        <x:v>No</x:v>
      </x:c>
      <x:c r="M56" s="22" t="n">
        <x:v>3.73</x:v>
      </x:c>
      <x:c r="N56" s="22" t="str">
        <x:v>None</x:v>
      </x:c>
      <x:c r="O56" s="22" t="str">
        <x:v>No</x:v>
      </x:c>
      <x:c r="P56" s="22" t="str">
        <x:v>No</x:v>
      </x:c>
      <x:c r="Q56" s="22" t="str">
        <x:v>Not applicable</x:v>
      </x:c>
      <x:c r="R56" s="22" t="str">
        <x:v>Not applicable</x:v>
      </x:c>
      <x:c r="S56" s="22" t="str">
        <x:v>No</x:v>
      </x:c>
      <x:c r="T56" s="22" t="str">
        <x:v>No</x:v>
      </x:c>
      <x:c r="U56" s="22" t="str">
        <x:v>No</x:v>
      </x:c>
      <x:c r="V56" s="22" t="str">
        <x:v>confusion</x:v>
      </x:c>
      <x:c r="W56" s="22" t="str">
        <x:v>No</x:v>
      </x:c>
      <x:c r="X56" s="22" t="str">
        <x:v>Uncertain</x:v>
      </x:c>
      <x:c r="Y56" s="22" t="n">
        <x:v>78.3</x:v>
      </x:c>
      <x:c r="Z56" s="22" t="str">
        <x:v>NICE-UNSUPPORTED-001</x:v>
      </x:c>
      <x:c r="AA56" s="22" t="str">
        <x:v>No definitive NICE-only management</x:v>
      </x:c>
      <x:c r="AB56" s="22" t="str">
        <x:v>Clinical review required</x:v>
      </x:c>
      <x:c r="AC56" s="22" t="str">
        <x:v>No definitive NICE-only management output</x:v>
      </x:c>
      <x:c r="AD56" s="22" t="str">
        <x:v>Do not generate treatment instructions. Display that an approved local protocol or specialist review is required.</x:v>
      </x:c>
      <x:c r="AE56" s="22" t="str">
        <x:v>This is a safety rule, not a treatment recommendation.</x:v>
      </x:c>
      <x:c r="AF56" s="22" t="str"/>
      <x:c r="AG56" s="22" t="str"/>
      <x:c r="AH56" s="22" t="str">
        <x:v>Hypermagnesaemia adult General adult presentation guideline systematic review clinical review</x:v>
      </x:c>
      <x:c r="AI56" s="22" t="str">
        <x:v>validation</x:v>
      </x:c>
      <x:c r="AJ56" s="22" t="str">
        <x:v>Yes</x:v>
      </x:c>
      <x:c r="AK56" s="22" t="str">
        <x:v>Pending</x:v>
      </x:c>
    </x:row>
    <x:row r="57">
      <x:c r="A57" t="str">
        <x:v>CASE-0725</x:v>
      </x:c>
      <x:c r="B57" s="22" t="str">
        <x:v>68-year-old male with hypermagnesaemia. Magnesium is 1.78 mmol/L; baseline is 1.87 mmol/L. Context: General adult presentation. Symptoms: reduced reflexes, confusion, weakness. IV fluids: No; CKD stage: None; heart failure: No; AKI: No; dialysis: No; eGFR: 49.6 mL/min/1.73m².</x:v>
      </x:c>
      <x:c r="C57" t="n">
        <x:v>68</x:v>
      </x:c>
      <x:c r="D57" t="str">
        <x:v>Male</x:v>
      </x:c>
      <x:c r="E57" t="str">
        <x:v>Not applicable</x:v>
      </x:c>
      <x:c r="F57" t="str">
        <x:v>Magnesium</x:v>
      </x:c>
      <x:c r="G57" t="str">
        <x:v>Hypermagnesaemia</x:v>
      </x:c>
      <x:c r="H57" t="n">
        <x:v>1.78</x:v>
      </x:c>
      <x:c r="I57" t="str">
        <x:v>mmol/L</x:v>
      </x:c>
      <x:c r="J57" s="22" t="str">
        <x:v>General adult presentation</x:v>
      </x:c>
      <x:c r="K57" s="22" t="str">
        <x:v>No</x:v>
      </x:c>
      <x:c r="L57" s="22" t="str">
        <x:v>No</x:v>
      </x:c>
      <x:c r="M57" s="22" t="n">
        <x:v>1.87</x:v>
      </x:c>
      <x:c r="N57" s="22" t="str">
        <x:v>None</x:v>
      </x:c>
      <x:c r="O57" s="22" t="str">
        <x:v>No</x:v>
      </x:c>
      <x:c r="P57" s="22" t="str">
        <x:v>No</x:v>
      </x:c>
      <x:c r="Q57" s="22" t="str">
        <x:v>Not applicable</x:v>
      </x:c>
      <x:c r="R57" s="22" t="str">
        <x:v>Not applicable</x:v>
      </x:c>
      <x:c r="S57" s="22" t="str">
        <x:v>No</x:v>
      </x:c>
      <x:c r="T57" s="22" t="str">
        <x:v>No</x:v>
      </x:c>
      <x:c r="U57" s="22" t="str">
        <x:v>No</x:v>
      </x:c>
      <x:c r="V57" s="22" t="str">
        <x:v>reduced reflexes, confusion, weakness</x:v>
      </x:c>
      <x:c r="W57" s="22" t="str">
        <x:v>No</x:v>
      </x:c>
      <x:c r="X57" s="22" t="str">
        <x:v>Uncertain</x:v>
      </x:c>
      <x:c r="Y57" s="22" t="n">
        <x:v>49.6</x:v>
      </x:c>
      <x:c r="Z57" s="22" t="str">
        <x:v>NICE-UNSUPPORTED-001</x:v>
      </x:c>
      <x:c r="AA57" s="22" t="str">
        <x:v>No definitive NICE-only management</x:v>
      </x:c>
      <x:c r="AB57" s="22" t="str">
        <x:v>Clinical review required</x:v>
      </x:c>
      <x:c r="AC57" s="22" t="str">
        <x:v>No definitive NICE-only management output</x:v>
      </x:c>
      <x:c r="AD57" s="22" t="str">
        <x:v>Do not generate treatment instructions. Display that an approved local protocol or specialist review is required.</x:v>
      </x:c>
      <x:c r="AE57" s="22" t="str">
        <x:v>This is a safety rule, not a treatment recommendation.</x:v>
      </x:c>
      <x:c r="AF57" s="22" t="str"/>
      <x:c r="AG57" s="22" t="str"/>
      <x:c r="AH57" s="22" t="str">
        <x:v>Hypermagnesaemia adult General adult presentation guideline systematic review clinical review</x:v>
      </x:c>
      <x:c r="AI57" s="22" t="str">
        <x:v>validation</x:v>
      </x:c>
      <x:c r="AJ57" s="22" t="str">
        <x:v>Yes</x:v>
      </x:c>
      <x:c r="AK57" s="22" t="str">
        <x:v>Pending</x:v>
      </x:c>
    </x:row>
    <x:row r="58">
      <x:c r="A58" t="str">
        <x:v>CASE-0645</x:v>
      </x:c>
      <x:c r="B58" s="22" t="str">
        <x:v>26-year-old male with hypomagnesaemia. Magnesium is 0.57 mmol/L; baseline is 0.38 mmol/L. Context: General adult presentation. Symptoms: tremor. IV fluids: No; CKD stage: None; heart failure: No; AKI: No; dialysis: No; eGFR: 61.2 mL/min/1.73m².</x:v>
      </x:c>
      <x:c r="C58" t="n">
        <x:v>26</x:v>
      </x:c>
      <x:c r="D58" t="str">
        <x:v>Male</x:v>
      </x:c>
      <x:c r="E58" t="str">
        <x:v>Not applicable</x:v>
      </x:c>
      <x:c r="F58" t="str">
        <x:v>Magnesium</x:v>
      </x:c>
      <x:c r="G58" t="str">
        <x:v>Hypomagnesaemia</x:v>
      </x:c>
      <x:c r="H58" t="n">
        <x:v>0.57</x:v>
      </x:c>
      <x:c r="I58" t="str">
        <x:v>mmol/L</x:v>
      </x:c>
      <x:c r="J58" s="22" t="str">
        <x:v>General adult presentation</x:v>
      </x:c>
      <x:c r="K58" s="22" t="str">
        <x:v>No</x:v>
      </x:c>
      <x:c r="L58" s="22" t="str">
        <x:v>No</x:v>
      </x:c>
      <x:c r="M58" s="22" t="n">
        <x:v>0.38</x:v>
      </x:c>
      <x:c r="N58" s="22" t="str">
        <x:v>None</x:v>
      </x:c>
      <x:c r="O58" s="22" t="str">
        <x:v>No</x:v>
      </x:c>
      <x:c r="P58" s="22" t="str">
        <x:v>No</x:v>
      </x:c>
      <x:c r="Q58" s="22" t="str">
        <x:v>Not applicable</x:v>
      </x:c>
      <x:c r="R58" s="22" t="str">
        <x:v>Not applicable</x:v>
      </x:c>
      <x:c r="S58" s="22" t="str">
        <x:v>No</x:v>
      </x:c>
      <x:c r="T58" s="22" t="str">
        <x:v>No</x:v>
      </x:c>
      <x:c r="U58" s="22" t="str">
        <x:v>No</x:v>
      </x:c>
      <x:c r="V58" s="22" t="str">
        <x:v>tremor</x:v>
      </x:c>
      <x:c r="W58" s="22" t="str">
        <x:v>No</x:v>
      </x:c>
      <x:c r="X58" s="22" t="str">
        <x:v>Hypovolaemic</x:v>
      </x:c>
      <x:c r="Y58" s="22" t="n">
        <x:v>61.2</x:v>
      </x:c>
      <x:c r="Z58" s="22" t="str">
        <x:v>NICE-UNSUPPORTED-001</x:v>
      </x:c>
      <x:c r="AA58" s="22" t="str">
        <x:v>No definitive NICE-only management</x:v>
      </x:c>
      <x:c r="AB58" s="22" t="str">
        <x:v>Clinical review required</x:v>
      </x:c>
      <x:c r="AC58" s="22" t="str">
        <x:v>No definitive NICE-only management output</x:v>
      </x:c>
      <x:c r="AD58" s="22" t="str">
        <x:v>Do not generate treatment instructions. Display that an approved local protocol or specialist review is required.</x:v>
      </x:c>
      <x:c r="AE58" s="22" t="str">
        <x:v>This is a safety rule, not a treatment recommendation.</x:v>
      </x:c>
      <x:c r="AF58" s="22" t="str"/>
      <x:c r="AG58" s="22" t="str"/>
      <x:c r="AH58" s="22" t="str">
        <x:v>Hypomagnesaemia adult General adult presentation guideline systematic review clinical review</x:v>
      </x:c>
      <x:c r="AI58" s="22" t="str">
        <x:v>test</x:v>
      </x:c>
      <x:c r="AJ58" s="22" t="str">
        <x:v>Yes</x:v>
      </x:c>
      <x:c r="AK58" s="22" t="str">
        <x:v>Pending</x:v>
      </x:c>
    </x:row>
    <x:row r="59">
      <x:c r="A59" t="str">
        <x:v>CASE-0941</x:v>
      </x:c>
      <x:c r="B59" s="22" t="str">
        <x:v>60-year-old male with no detected adjusted calcium abnormality. Adjusted calcium is 2.31 mmol/L. General adult presentation.</x:v>
      </x:c>
      <x:c r="C59" t="n">
        <x:v>60</x:v>
      </x:c>
      <x:c r="D59" t="str">
        <x:v>Male</x:v>
      </x:c>
      <x:c r="E59" t="str">
        <x:v>Not applicable</x:v>
      </x:c>
      <x:c r="F59" t="str">
        <x:v>Adjusted calcium</x:v>
      </x:c>
      <x:c r="G59" t="str">
        <x:v>No abnormality detected</x:v>
      </x:c>
      <x:c r="H59" t="n">
        <x:v>2.31</x:v>
      </x:c>
      <x:c r="I59" t="str">
        <x:v>mmol/L</x:v>
      </x:c>
      <x:c r="J59" s="22" t="str">
        <x:v>General adult presentation</x:v>
      </x:c>
      <x:c r="K59" s="22" t="str">
        <x:v>No</x:v>
      </x:c>
      <x:c r="L59" s="22" t="str">
        <x:v>No</x:v>
      </x:c>
      <x:c r="M59" s="22" t="n">
        <x:v>2.31</x:v>
      </x:c>
      <x:c r="N59" s="22" t="str">
        <x:v>None</x:v>
      </x:c>
      <x:c r="O59" s="22" t="str">
        <x:v>No</x:v>
      </x:c>
      <x:c r="P59" s="22" t="str">
        <x:v>No</x:v>
      </x:c>
      <x:c r="Q59" s="22" t="str">
        <x:v>Not applicable</x:v>
      </x:c>
      <x:c r="R59" s="22" t="str">
        <x:v>Not applicable</x:v>
      </x:c>
      <x:c r="S59" s="22" t="str">
        <x:v>No</x:v>
      </x:c>
      <x:c r="T59" s="22" t="str">
        <x:v>No</x:v>
      </x:c>
      <x:c r="U59" s="22" t="str">
        <x:v>No</x:v>
      </x:c>
      <x:c r="V59" s="22" t="str">
        <x:v>None reported</x:v>
      </x:c>
      <x:c r="W59" s="22" t="str">
        <x:v>No</x:v>
      </x:c>
      <x:c r="X59" s="22" t="str">
        <x:v>Euvolaemic</x:v>
      </x:c>
      <x:c r="Y59" s="22" t="n">
        <x:v>73.6</x:v>
      </x:c>
      <x:c r="Z59" s="22" t="str">
        <x:v>NICE-GLOBAL-ASSESS-001</x:v>
      </x:c>
      <x:c r="AA59" s="22" t="str">
        <x:v>General NICE assessment only</x:v>
      </x:c>
      <x:c r="AB59" s="22" t="str">
        <x:v>Routine review</x:v>
      </x:c>
      <x:c r="AC59" s="22" t="str">
        <x:v>No abnormality-specific management</x:v>
      </x:c>
      <x:c r="AD59" s="22" t="str">
        <x:v>No electrolyte abnormality is detected by the synthetic reference range; interpret the result with the full clinical picture.</x:v>
      </x:c>
      <x:c r="AE59" s="22" t="str">
        <x:v>Synthetic reference ranges are not NICE management thresholds.</x:v>
      </x:c>
      <x:c r="AF59" s="22" t="str">
        <x:v>NICE-CG174</x:v>
      </x:c>
      <x:c r="AG59" s="22" t="str">
        <x:v>1.1.1 and 1.2.2</x:v>
      </x:c>
      <x:c r="AH59" s="22" t="str">
        <x:v>Adjusted calcium reference interval adult laboratory interpretation</x:v>
      </x:c>
      <x:c r="AI59" s="22" t="str">
        <x:v>test</x:v>
      </x:c>
      <x:c r="AJ59" s="22" t="str">
        <x:v>Yes</x:v>
      </x:c>
      <x:c r="AK59" s="22" t="str">
        <x:v>Pending</x:v>
      </x:c>
    </x:row>
    <x:row r="60">
      <x:c r="A60" t="str">
        <x:v>CASE-0108</x:v>
      </x:c>
      <x:c r="B60" s="22" t="str">
        <x:v>22-year-old female with hypernatraemia. Sodium is 153.0 mmol/L; baseline is 153.9 mmol/L. Context: General adult presentation. Symptoms: weakness. IV fluids: No; CKD stage: None; heart failure: No; AKI: No; dialysis: No; eGFR: 105.6 mL/min/1.73m².</x:v>
      </x:c>
      <x:c r="C60" t="n">
        <x:v>22</x:v>
      </x:c>
      <x:c r="D60" t="str">
        <x:v>Female</x:v>
      </x:c>
      <x:c r="E60" t="str">
        <x:v>Not pregnant</x:v>
      </x:c>
      <x:c r="F60" t="str">
        <x:v>Sodium</x:v>
      </x:c>
      <x:c r="G60" t="str">
        <x:v>Hypernatraemia</x:v>
      </x:c>
      <x:c r="H60" t="n">
        <x:v>153</x:v>
      </x:c>
      <x:c r="I60" t="str">
        <x:v>mmol/L</x:v>
      </x:c>
      <x:c r="J60" s="22" t="str">
        <x:v>General adult presentation</x:v>
      </x:c>
      <x:c r="K60" s="22" t="str">
        <x:v>No</x:v>
      </x:c>
      <x:c r="L60" s="22" t="str">
        <x:v>No</x:v>
      </x:c>
      <x:c r="M60" s="22" t="n">
        <x:v>153.9</x:v>
      </x:c>
      <x:c r="N60" s="22" t="str">
        <x:v>None</x:v>
      </x:c>
      <x:c r="O60" s="22" t="str">
        <x:v>No</x:v>
      </x:c>
      <x:c r="P60" s="22" t="str">
        <x:v>No</x:v>
      </x:c>
      <x:c r="Q60" s="22" t="str">
        <x:v>Not applicable</x:v>
      </x:c>
      <x:c r="R60" s="22" t="str">
        <x:v>Not applicable</x:v>
      </x:c>
      <x:c r="S60" s="22" t="str">
        <x:v>No</x:v>
      </x:c>
      <x:c r="T60" s="22" t="str">
        <x:v>No</x:v>
      </x:c>
      <x:c r="U60" s="22" t="str">
        <x:v>No</x:v>
      </x:c>
      <x:c r="V60" s="22" t="str">
        <x:v>weakness</x:v>
      </x:c>
      <x:c r="W60" s="22" t="str">
        <x:v>No</x:v>
      </x:c>
      <x:c r="X60" s="22" t="str">
        <x:v>Hypovolaemic</x:v>
      </x:c>
      <x:c r="Y60" s="22" t="n">
        <x:v>105.6</x:v>
      </x:c>
      <x:c r="Z60" s="22" t="str">
        <x:v>NICE-UNSUPPORTED-001</x:v>
      </x:c>
      <x:c r="AA60" s="22" t="str">
        <x:v>No definitive NICE-only management</x:v>
      </x:c>
      <x:c r="AB60" s="22" t="str">
        <x:v>Clinical review required</x:v>
      </x:c>
      <x:c r="AC60" s="22" t="str">
        <x:v>No definitive NICE-only management output</x:v>
      </x:c>
      <x:c r="AD60" s="22" t="str">
        <x:v>Do not generate treatment instructions. Display that an approved local protocol or specialist review is required.</x:v>
      </x:c>
      <x:c r="AE60" s="22" t="str">
        <x:v>This is a safety rule, not a treatment recommendation.</x:v>
      </x:c>
      <x:c r="AF60" s="22" t="str"/>
      <x:c r="AG60" s="22" t="str"/>
      <x:c r="AH60" s="22" t="str">
        <x:v>Hypernatraemia adult General adult presentation guideline systematic review clinical review</x:v>
      </x:c>
      <x:c r="AI60" s="22" t="str">
        <x:v>test</x:v>
      </x:c>
      <x:c r="AJ60" s="22" t="str">
        <x:v>Yes</x:v>
      </x:c>
      <x:c r="AK60" s="22" t="str">
        <x:v>Pending</x:v>
      </x:c>
    </x:row>
    <x:row r="61">
      <x:c r="A61" t="str">
        <x:v>CASE-0600</x:v>
      </x:c>
      <x:c r="B61" s="22" t="str">
        <x:v>55-year-old male with hypercalcaemia. Adjusted calcium is 3.14 mmol/L; baseline is 3.11 mmol/L. Context: General adult presentation. Symptoms: confusion. IV fluids: No; CKD stage: None; heart failure: No; AKI: No; dialysis: No; eGFR: 41.2 mL/min/1.73m².</x:v>
      </x:c>
      <x:c r="C61" t="n">
        <x:v>55</x:v>
      </x:c>
      <x:c r="D61" t="str">
        <x:v>Male</x:v>
      </x:c>
      <x:c r="E61" t="str">
        <x:v>Not applicable</x:v>
      </x:c>
      <x:c r="F61" t="str">
        <x:v>Adjusted calcium</x:v>
      </x:c>
      <x:c r="G61" t="str">
        <x:v>Hypercalcaemia</x:v>
      </x:c>
      <x:c r="H61" t="n">
        <x:v>3.14</x:v>
      </x:c>
      <x:c r="I61" t="str">
        <x:v>mmol/L</x:v>
      </x:c>
      <x:c r="J61" s="22" t="str">
        <x:v>General adult presentation</x:v>
      </x:c>
      <x:c r="K61" s="22" t="str">
        <x:v>No</x:v>
      </x:c>
      <x:c r="L61" s="22" t="str">
        <x:v>No</x:v>
      </x:c>
      <x:c r="M61" s="22" t="n">
        <x:v>3.11</x:v>
      </x:c>
      <x:c r="N61" s="22" t="str">
        <x:v>None</x:v>
      </x:c>
      <x:c r="O61" s="22" t="str">
        <x:v>No</x:v>
      </x:c>
      <x:c r="P61" s="22" t="str">
        <x:v>No</x:v>
      </x:c>
      <x:c r="Q61" s="22" t="str">
        <x:v>Not applicable</x:v>
      </x:c>
      <x:c r="R61" s="22" t="str">
        <x:v>Not applicable</x:v>
      </x:c>
      <x:c r="S61" s="22" t="str">
        <x:v>No</x:v>
      </x:c>
      <x:c r="T61" s="22" t="str">
        <x:v>No</x:v>
      </x:c>
      <x:c r="U61" s="22" t="str">
        <x:v>No</x:v>
      </x:c>
      <x:c r="V61" s="22" t="str">
        <x:v>confusion</x:v>
      </x:c>
      <x:c r="W61" s="22" t="str">
        <x:v>No</x:v>
      </x:c>
      <x:c r="X61" s="22" t="str">
        <x:v>Euvolaemic</x:v>
      </x:c>
      <x:c r="Y61" s="22" t="n">
        <x:v>41.2</x:v>
      </x:c>
      <x:c r="Z61" s="22" t="str">
        <x:v>NICE-UNSUPPORTED-001</x:v>
      </x:c>
      <x:c r="AA61" s="22" t="str">
        <x:v>No definitive NICE-only management</x:v>
      </x:c>
      <x:c r="AB61" s="22" t="str">
        <x:v>Clinical review required</x:v>
      </x:c>
      <x:c r="AC61" s="22" t="str">
        <x:v>No definitive NICE-only management output</x:v>
      </x:c>
      <x:c r="AD61" s="22" t="str">
        <x:v>Do not generate treatment instructions. Display that an approved local protocol or specialist review is required.</x:v>
      </x:c>
      <x:c r="AE61" s="22" t="str">
        <x:v>This is a safety rule, not a treatment recommendation.</x:v>
      </x:c>
      <x:c r="AF61" s="22" t="str"/>
      <x:c r="AG61" s="22" t="str"/>
      <x:c r="AH61" s="22" t="str">
        <x:v>Hypercalcaemia adult General adult presentation guideline systematic review clinical review</x:v>
      </x:c>
      <x:c r="AI61" s="22" t="str">
        <x:v>train</x:v>
      </x:c>
      <x:c r="AJ61" s="22" t="str">
        <x:v>Yes</x:v>
      </x:c>
      <x:c r="AK61" s="22" t="str">
        <x:v>Pending</x:v>
      </x:c>
    </x:row>
    <x:row r="62">
      <x:c r="A62" t="str">
        <x:v>CASE-0703</x:v>
      </x:c>
      <x:c r="B62" s="22" t="str">
        <x:v>53-year-old male with hypermagnesaemia. Magnesium is 3.17 mmol/L; baseline is 1.16 mmol/L. Context: General adult presentation. Symptoms: None reported. IV fluids: No; CKD stage: None; heart failure: No; AKI: No; dialysis: No; eGFR: 34.4 mL/min/1.73m².</x:v>
      </x:c>
      <x:c r="C62" t="n">
        <x:v>53</x:v>
      </x:c>
      <x:c r="D62" t="str">
        <x:v>Male</x:v>
      </x:c>
      <x:c r="E62" t="str">
        <x:v>Not applicable</x:v>
      </x:c>
      <x:c r="F62" t="str">
        <x:v>Magnesium</x:v>
      </x:c>
      <x:c r="G62" t="str">
        <x:v>Hypermagnesaemia</x:v>
      </x:c>
      <x:c r="H62" t="n">
        <x:v>3.17</x:v>
      </x:c>
      <x:c r="I62" t="str">
        <x:v>mmol/L</x:v>
      </x:c>
      <x:c r="J62" s="22" t="str">
        <x:v>General adult presentation</x:v>
      </x:c>
      <x:c r="K62" s="22" t="str">
        <x:v>No</x:v>
      </x:c>
      <x:c r="L62" s="22" t="str">
        <x:v>No</x:v>
      </x:c>
      <x:c r="M62" s="22" t="n">
        <x:v>1.16</x:v>
      </x:c>
      <x:c r="N62" s="22" t="str">
        <x:v>None</x:v>
      </x:c>
      <x:c r="O62" s="22" t="str">
        <x:v>No</x:v>
      </x:c>
      <x:c r="P62" s="22" t="str">
        <x:v>No</x:v>
      </x:c>
      <x:c r="Q62" s="22" t="str">
        <x:v>Not applicable</x:v>
      </x:c>
      <x:c r="R62" s="22" t="str">
        <x:v>Not applicable</x:v>
      </x:c>
      <x:c r="S62" s="22" t="str">
        <x:v>No</x:v>
      </x:c>
      <x:c r="T62" s="22" t="str">
        <x:v>No</x:v>
      </x:c>
      <x:c r="U62" s="22" t="str">
        <x:v>No</x:v>
      </x:c>
      <x:c r="V62" s="22" t="str">
        <x:v>None reported</x:v>
      </x:c>
      <x:c r="W62" s="22" t="str">
        <x:v>No</x:v>
      </x:c>
      <x:c r="X62" s="22" t="str">
        <x:v>Euvolaemic</x:v>
      </x:c>
      <x:c r="Y62" s="22" t="n">
        <x:v>34.4</x:v>
      </x:c>
      <x:c r="Z62" s="22" t="str">
        <x:v>NICE-UNSUPPORTED-001</x:v>
      </x:c>
      <x:c r="AA62" s="22" t="str">
        <x:v>No definitive NICE-only management</x:v>
      </x:c>
      <x:c r="AB62" s="22" t="str">
        <x:v>Clinical review required</x:v>
      </x:c>
      <x:c r="AC62" s="22" t="str">
        <x:v>No definitive NICE-only management output</x:v>
      </x:c>
      <x:c r="AD62" s="22" t="str">
        <x:v>Do not generate treatment instructions. Display that an approved local protocol or specialist review is required.</x:v>
      </x:c>
      <x:c r="AE62" s="22" t="str">
        <x:v>This is a safety rule, not a treatment recommendation.</x:v>
      </x:c>
      <x:c r="AF62" s="22" t="str"/>
      <x:c r="AG62" s="22" t="str"/>
      <x:c r="AH62" s="22" t="str">
        <x:v>Hypermagnesaemia adult General adult presentation guideline systematic review clinical review</x:v>
      </x:c>
      <x:c r="AI62" s="22" t="str">
        <x:v>train</x:v>
      </x:c>
      <x:c r="AJ62" s="22" t="str">
        <x:v>Yes</x:v>
      </x:c>
      <x:c r="AK62" s="22" t="str">
        <x:v>Pending</x:v>
      </x:c>
    </x:row>
    <x:row r="63">
      <x:c r="A63" t="str">
        <x:v>CASE-0882</x:v>
      </x:c>
      <x:c r="B63" s="22" t="str">
        <x:v>85-year-old male with no detected potassium abnormality. Potassium is 3.75 mmol/L. General adult presentation.</x:v>
      </x:c>
      <x:c r="C63" t="n">
        <x:v>85</x:v>
      </x:c>
      <x:c r="D63" t="str">
        <x:v>Male</x:v>
      </x:c>
      <x:c r="E63" t="str">
        <x:v>Not applicable</x:v>
      </x:c>
      <x:c r="F63" t="str">
        <x:v>Potassium</x:v>
      </x:c>
      <x:c r="G63" t="str">
        <x:v>No abnormality detected</x:v>
      </x:c>
      <x:c r="H63" t="n">
        <x:v>3.75</x:v>
      </x:c>
      <x:c r="I63" t="str">
        <x:v>mmol/L</x:v>
      </x:c>
      <x:c r="J63" s="22" t="str">
        <x:v>General adult presentation</x:v>
      </x:c>
      <x:c r="K63" s="22" t="str">
        <x:v>No</x:v>
      </x:c>
      <x:c r="L63" s="22" t="str">
        <x:v>No</x:v>
      </x:c>
      <x:c r="M63" s="22" t="n">
        <x:v>3.75</x:v>
      </x:c>
      <x:c r="N63" s="22" t="str">
        <x:v>None</x:v>
      </x:c>
      <x:c r="O63" s="22" t="str">
        <x:v>No</x:v>
      </x:c>
      <x:c r="P63" s="22" t="str">
        <x:v>No</x:v>
      </x:c>
      <x:c r="Q63" s="22" t="str">
        <x:v>Not applicable</x:v>
      </x:c>
      <x:c r="R63" s="22" t="str">
        <x:v>Not applicable</x:v>
      </x:c>
      <x:c r="S63" s="22" t="str">
        <x:v>No</x:v>
      </x:c>
      <x:c r="T63" s="22" t="str">
        <x:v>No</x:v>
      </x:c>
      <x:c r="U63" s="22" t="str">
        <x:v>No</x:v>
      </x:c>
      <x:c r="V63" s="22" t="str">
        <x:v>None reported</x:v>
      </x:c>
      <x:c r="W63" s="22" t="str">
        <x:v>No</x:v>
      </x:c>
      <x:c r="X63" s="22" t="str">
        <x:v>Euvolaemic</x:v>
      </x:c>
      <x:c r="Y63" s="22" t="n">
        <x:v>64.8</x:v>
      </x:c>
      <x:c r="Z63" s="22" t="str">
        <x:v>NICE-GLOBAL-ASSESS-001</x:v>
      </x:c>
      <x:c r="AA63" s="22" t="str">
        <x:v>General NICE assessment only</x:v>
      </x:c>
      <x:c r="AB63" s="22" t="str">
        <x:v>Routine review</x:v>
      </x:c>
      <x:c r="AC63" s="22" t="str">
        <x:v>No abnormality-specific management</x:v>
      </x:c>
      <x:c r="AD63" s="22" t="str">
        <x:v>No electrolyte abnormality is detected by the synthetic reference range; interpret the result with the full clinical picture.</x:v>
      </x:c>
      <x:c r="AE63" s="22" t="str">
        <x:v>Synthetic reference ranges are not NICE management thresholds.</x:v>
      </x:c>
      <x:c r="AF63" s="22" t="str">
        <x:v>NICE-CG174</x:v>
      </x:c>
      <x:c r="AG63" s="22" t="str">
        <x:v>1.1.1 and 1.2.2</x:v>
      </x:c>
      <x:c r="AH63" s="22" t="str">
        <x:v>Potassium reference interval adult laboratory interpretation</x:v>
      </x:c>
      <x:c r="AI63" s="22" t="str">
        <x:v>train</x:v>
      </x:c>
      <x:c r="AJ63" s="22" t="str">
        <x:v>Yes</x:v>
      </x:c>
      <x:c r="AK63" s="22" t="str">
        <x:v>Pending</x:v>
      </x:c>
    </x:row>
    <x:row r="64">
      <x:c r="A64" t="str">
        <x:v>CASE-0692</x:v>
      </x:c>
      <x:c r="B64" s="22" t="str">
        <x:v>28-year-old male with hypomagnesaemia. Magnesium is 0.41 mmol/L; baseline is 0.66 mmol/L. Context: General adult presentation. Symptoms: cramps. IV fluids: No; CKD stage: None; heart failure: No; AKI: No; dialysis: No; eGFR: 80.5 mL/min/1.73m².</x:v>
      </x:c>
      <x:c r="C64" t="n">
        <x:v>28</x:v>
      </x:c>
      <x:c r="D64" t="str">
        <x:v>Male</x:v>
      </x:c>
      <x:c r="E64" t="str">
        <x:v>Not applicable</x:v>
      </x:c>
      <x:c r="F64" t="str">
        <x:v>Magnesium</x:v>
      </x:c>
      <x:c r="G64" t="str">
        <x:v>Hypomagnesaemia</x:v>
      </x:c>
      <x:c r="H64" t="n">
        <x:v>0.41</x:v>
      </x:c>
      <x:c r="I64" t="str">
        <x:v>mmol/L</x:v>
      </x:c>
      <x:c r="J64" s="22" t="str">
        <x:v>General adult presentation</x:v>
      </x:c>
      <x:c r="K64" s="22" t="str">
        <x:v>No</x:v>
      </x:c>
      <x:c r="L64" s="22" t="str">
        <x:v>No</x:v>
      </x:c>
      <x:c r="M64" s="22" t="n">
        <x:v>0.66</x:v>
      </x:c>
      <x:c r="N64" s="22" t="str">
        <x:v>None</x:v>
      </x:c>
      <x:c r="O64" s="22" t="str">
        <x:v>No</x:v>
      </x:c>
      <x:c r="P64" s="22" t="str">
        <x:v>No</x:v>
      </x:c>
      <x:c r="Q64" s="22" t="str">
        <x:v>Not applicable</x:v>
      </x:c>
      <x:c r="R64" s="22" t="str">
        <x:v>Not applicable</x:v>
      </x:c>
      <x:c r="S64" s="22" t="str">
        <x:v>No</x:v>
      </x:c>
      <x:c r="T64" s="22" t="str">
        <x:v>No</x:v>
      </x:c>
      <x:c r="U64" s="22" t="str">
        <x:v>No</x:v>
      </x:c>
      <x:c r="V64" s="22" t="str">
        <x:v>cramps</x:v>
      </x:c>
      <x:c r="W64" s="22" t="str">
        <x:v>No</x:v>
      </x:c>
      <x:c r="X64" s="22" t="str">
        <x:v>Hypervolaemic</x:v>
      </x:c>
      <x:c r="Y64" s="22" t="n">
        <x:v>80.5</x:v>
      </x:c>
      <x:c r="Z64" s="22" t="str">
        <x:v>NICE-UNSUPPORTED-001</x:v>
      </x:c>
      <x:c r="AA64" s="22" t="str">
        <x:v>No definitive NICE-only management</x:v>
      </x:c>
      <x:c r="AB64" s="22" t="str">
        <x:v>Clinical review required</x:v>
      </x:c>
      <x:c r="AC64" s="22" t="str">
        <x:v>No definitive NICE-only management output</x:v>
      </x:c>
      <x:c r="AD64" s="22" t="str">
        <x:v>Do not generate treatment instructions. Display that an approved local protocol or specialist review is required.</x:v>
      </x:c>
      <x:c r="AE64" s="22" t="str">
        <x:v>This is a safety rule, not a treatment recommendation.</x:v>
      </x:c>
      <x:c r="AF64" s="22" t="str"/>
      <x:c r="AG64" s="22" t="str"/>
      <x:c r="AH64" s="22" t="str">
        <x:v>Hypomagnesaemia adult General adult presentation guideline systematic review clinical review</x:v>
      </x:c>
      <x:c r="AI64" s="22" t="str">
        <x:v>train</x:v>
      </x:c>
      <x:c r="AJ64" s="22" t="str">
        <x:v>Yes</x:v>
      </x:c>
      <x:c r="AK64" s="22" t="str">
        <x:v>Pending</x:v>
      </x:c>
    </x:row>
    <x:row r="65">
      <x:c r="A65" t="str">
        <x:v>CASE-0731</x:v>
      </x:c>
      <x:c r="B65" s="22" t="str">
        <x:v>73-year-old male with hypermagnesaemia. Magnesium is 4.81 mmol/L; baseline is 4.39 mmol/L. Context: General adult presentation. Symptoms: weakness, reduced reflexes. IV fluids: No; CKD stage: None; heart failure: No; AKI: No; dialysis: No; eGFR: 107.0 mL/min/1.73m².</x:v>
      </x:c>
      <x:c r="C65" t="n">
        <x:v>73</x:v>
      </x:c>
      <x:c r="D65" t="str">
        <x:v>Male</x:v>
      </x:c>
      <x:c r="E65" t="str">
        <x:v>Not applicable</x:v>
      </x:c>
      <x:c r="F65" t="str">
        <x:v>Magnesium</x:v>
      </x:c>
      <x:c r="G65" t="str">
        <x:v>Hypermagnesaemia</x:v>
      </x:c>
      <x:c r="H65" t="n">
        <x:v>4.81</x:v>
      </x:c>
      <x:c r="I65" t="str">
        <x:v>mmol/L</x:v>
      </x:c>
      <x:c r="J65" s="22" t="str">
        <x:v>General adult presentation</x:v>
      </x:c>
      <x:c r="K65" s="22" t="str">
        <x:v>No</x:v>
      </x:c>
      <x:c r="L65" s="22" t="str">
        <x:v>No</x:v>
      </x:c>
      <x:c r="M65" s="22" t="n">
        <x:v>4.39</x:v>
      </x:c>
      <x:c r="N65" s="22" t="str">
        <x:v>None</x:v>
      </x:c>
      <x:c r="O65" s="22" t="str">
        <x:v>No</x:v>
      </x:c>
      <x:c r="P65" s="22" t="str">
        <x:v>No</x:v>
      </x:c>
      <x:c r="Q65" s="22" t="str">
        <x:v>Not applicable</x:v>
      </x:c>
      <x:c r="R65" s="22" t="str">
        <x:v>Not applicable</x:v>
      </x:c>
      <x:c r="S65" s="22" t="str">
        <x:v>No</x:v>
      </x:c>
      <x:c r="T65" s="22" t="str">
        <x:v>No</x:v>
      </x:c>
      <x:c r="U65" s="22" t="str">
        <x:v>No</x:v>
      </x:c>
      <x:c r="V65" s="22" t="str">
        <x:v>weakness, reduced reflexes</x:v>
      </x:c>
      <x:c r="W65" s="22" t="str">
        <x:v>No</x:v>
      </x:c>
      <x:c r="X65" s="22" t="str">
        <x:v>Uncertain</x:v>
      </x:c>
      <x:c r="Y65" s="22" t="n">
        <x:v>107</x:v>
      </x:c>
      <x:c r="Z65" s="22" t="str">
        <x:v>NICE-UNSUPPORTED-001</x:v>
      </x:c>
      <x:c r="AA65" s="22" t="str">
        <x:v>No definitive NICE-only management</x:v>
      </x:c>
      <x:c r="AB65" s="22" t="str">
        <x:v>Clinical review required</x:v>
      </x:c>
      <x:c r="AC65" s="22" t="str">
        <x:v>No definitive NICE-only management output</x:v>
      </x:c>
      <x:c r="AD65" s="22" t="str">
        <x:v>Do not generate treatment instructions. Display that an approved local protocol or specialist review is required.</x:v>
      </x:c>
      <x:c r="AE65" s="22" t="str">
        <x:v>This is a safety rule, not a treatment recommendation.</x:v>
      </x:c>
      <x:c r="AF65" s="22" t="str"/>
      <x:c r="AG65" s="22" t="str"/>
      <x:c r="AH65" s="22" t="str">
        <x:v>Hypermagnesaemia adult General adult presentation guideline systematic review clinical review</x:v>
      </x:c>
      <x:c r="AI65" s="22" t="str">
        <x:v>train</x:v>
      </x:c>
      <x:c r="AJ65" s="22" t="str">
        <x:v>Yes</x:v>
      </x:c>
      <x:c r="AK65" s="22" t="str">
        <x:v>Pending</x:v>
      </x:c>
    </x:row>
    <x:row r="66">
      <x:c r="A66" t="str">
        <x:v>CASE-0807</x:v>
      </x:c>
      <x:c r="B66" s="22" t="str">
        <x:v>28-year-old male with no detected sodium abnormality. Sodium is 136.8 mmol/L. General adult presentation.</x:v>
      </x:c>
      <x:c r="C66" t="n">
        <x:v>28</x:v>
      </x:c>
      <x:c r="D66" t="str">
        <x:v>Male</x:v>
      </x:c>
      <x:c r="E66" t="str">
        <x:v>Not applicable</x:v>
      </x:c>
      <x:c r="F66" t="str">
        <x:v>Sodium</x:v>
      </x:c>
      <x:c r="G66" t="str">
        <x:v>No abnormality detected</x:v>
      </x:c>
      <x:c r="H66" t="n">
        <x:v>136.8</x:v>
      </x:c>
      <x:c r="I66" t="str">
        <x:v>mmol/L</x:v>
      </x:c>
      <x:c r="J66" s="22" t="str">
        <x:v>General adult presentation</x:v>
      </x:c>
      <x:c r="K66" s="22" t="str">
        <x:v>No</x:v>
      </x:c>
      <x:c r="L66" s="22" t="str">
        <x:v>No</x:v>
      </x:c>
      <x:c r="M66" s="22" t="n">
        <x:v>136.8</x:v>
      </x:c>
      <x:c r="N66" s="22" t="str">
        <x:v>None</x:v>
      </x:c>
      <x:c r="O66" s="22" t="str">
        <x:v>No</x:v>
      </x:c>
      <x:c r="P66" s="22" t="str">
        <x:v>No</x:v>
      </x:c>
      <x:c r="Q66" s="22" t="str">
        <x:v>Not applicable</x:v>
      </x:c>
      <x:c r="R66" s="22" t="str">
        <x:v>Not applicable</x:v>
      </x:c>
      <x:c r="S66" s="22" t="str">
        <x:v>No</x:v>
      </x:c>
      <x:c r="T66" s="22" t="str">
        <x:v>No</x:v>
      </x:c>
      <x:c r="U66" s="22" t="str">
        <x:v>No</x:v>
      </x:c>
      <x:c r="V66" s="22" t="str">
        <x:v>None reported</x:v>
      </x:c>
      <x:c r="W66" s="22" t="str">
        <x:v>No</x:v>
      </x:c>
      <x:c r="X66" s="22" t="str">
        <x:v>Euvolaemic</x:v>
      </x:c>
      <x:c r="Y66" s="22" t="n">
        <x:v>106.9</x:v>
      </x:c>
      <x:c r="Z66" s="22" t="str">
        <x:v>NICE-GLOBAL-ASSESS-001</x:v>
      </x:c>
      <x:c r="AA66" s="22" t="str">
        <x:v>General NICE assessment only</x:v>
      </x:c>
      <x:c r="AB66" s="22" t="str">
        <x:v>Routine review</x:v>
      </x:c>
      <x:c r="AC66" s="22" t="str">
        <x:v>No abnormality-specific management</x:v>
      </x:c>
      <x:c r="AD66" s="22" t="str">
        <x:v>No electrolyte abnormality is detected by the synthetic reference range; interpret the result with the full clinical picture.</x:v>
      </x:c>
      <x:c r="AE66" s="22" t="str">
        <x:v>Synthetic reference ranges are not NICE management thresholds.</x:v>
      </x:c>
      <x:c r="AF66" s="22" t="str">
        <x:v>NICE-CG174</x:v>
      </x:c>
      <x:c r="AG66" s="22" t="str">
        <x:v>1.1.1 and 1.2.2</x:v>
      </x:c>
      <x:c r="AH66" s="22" t="str">
        <x:v>Sodium reference interval adult laboratory interpretation</x:v>
      </x:c>
      <x:c r="AI66" s="22" t="str">
        <x:v>train</x:v>
      </x:c>
      <x:c r="AJ66" s="22" t="str">
        <x:v>Yes</x:v>
      </x:c>
      <x:c r="AK66" s="22" t="str">
        <x:v>Pending</x:v>
      </x:c>
    </x:row>
    <x:row r="67">
      <x:c r="A67" t="str">
        <x:v>CASE-0186</x:v>
      </x:c>
      <x:c r="B67" s="22" t="str">
        <x:v>62-year-old female with hypernatraemia. Sodium is 169.6 mmol/L; baseline is 144.6 mmol/L. Context: IV-fluid-related. Symptoms: None reported. IV fluids: Yes; CKD stage: None; heart failure: No; AKI: No; dialysis: No; eGFR: 51.7 mL/min/1.73m².</x:v>
      </x:c>
      <x:c r="C67" t="n">
        <x:v>62</x:v>
      </x:c>
      <x:c r="D67" t="str">
        <x:v>Female</x:v>
      </x:c>
      <x:c r="E67" t="str">
        <x:v>Not applicable</x:v>
      </x:c>
      <x:c r="F67" t="str">
        <x:v>Sodium</x:v>
      </x:c>
      <x:c r="G67" t="str">
        <x:v>Hypernatraemia</x:v>
      </x:c>
      <x:c r="H67" t="n">
        <x:v>169.6</x:v>
      </x:c>
      <x:c r="I67" t="str">
        <x:v>mmol/L</x:v>
      </x:c>
      <x:c r="J67" s="22" t="str">
        <x:v>IV-fluid-related</x:v>
      </x:c>
      <x:c r="K67" s="22" t="str">
        <x:v>Yes</x:v>
      </x:c>
      <x:c r="L67" s="22" t="str">
        <x:v>Yes</x:v>
      </x:c>
      <x:c r="M67" s="22" t="n">
        <x:v>144.6</x:v>
      </x:c>
      <x:c r="N67" s="22" t="str">
        <x:v>None</x:v>
      </x:c>
      <x:c r="O67" s="22" t="str">
        <x:v>No</x:v>
      </x:c>
      <x:c r="P67" s="22" t="str">
        <x:v>No</x:v>
      </x:c>
      <x:c r="Q67" s="22" t="str">
        <x:v>Not applicable</x:v>
      </x:c>
      <x:c r="R67" s="22" t="str">
        <x:v>Not applicable</x:v>
      </x:c>
      <x:c r="S67" s="22" t="str">
        <x:v>No</x:v>
      </x:c>
      <x:c r="T67" s="22" t="str">
        <x:v>No</x:v>
      </x:c>
      <x:c r="U67" s="22" t="str">
        <x:v>No</x:v>
      </x:c>
      <x:c r="V67" s="22" t="str">
        <x:v>None reported</x:v>
      </x:c>
      <x:c r="W67" s="22" t="str">
        <x:v>No</x:v>
      </x:c>
      <x:c r="X67" s="22" t="str">
        <x:v>Uncertain</x:v>
      </x:c>
      <x:c r="Y67" s="22" t="n">
        <x:v>51.7</x:v>
      </x:c>
      <x:c r="Z67" s="22" t="str">
        <x:v>NICE-NA-HYPER-IV-001</x:v>
      </x:c>
      <x:c r="AA67" s="22" t="str">
        <x:v>NICE detection / reassessment / escalation</x:v>
      </x:c>
      <x:c r="AB67" s="22" t="str">
        <x:v>Urgent review</x:v>
      </x:c>
      <x:c r="AC67" s="22" t="str">
        <x:v>NICE detection, reassessment and escalation</x:v>
      </x:c>
      <x:c r="AD67" s="22" t="str">
        <x:v>Treat as possible IV-fluid mismanagement: reassess the fluid prescription and monitoring plan, and seek expert help for the imbalance.</x:v>
      </x:c>
      <x:c r="AE67" s="22" t="str">
        <x:v>No definitive sodium-correction regimen is provided by CG174.</x:v>
      </x:c>
      <x:c r="AF67" s="22" t="str">
        <x:v>NICE-CG174</x:v>
      </x:c>
      <x:c r="AG67" s="22" t="str">
        <x:v>1.2.4, 1.5.1, 1.5.2, Table 1</x:v>
      </x:c>
      <x:c r="AH67" s="22" t="str">
        <x:v>Hypernatraemia adult IV-fluid-related guideline systematic review clinical review</x:v>
      </x:c>
      <x:c r="AI67" s="22" t="str">
        <x:v>train</x:v>
      </x:c>
      <x:c r="AJ67" s="22" t="str">
        <x:v>Yes</x:v>
      </x:c>
      <x:c r="AK67" s="22" t="str">
        <x:v>Pending</x:v>
      </x:c>
    </x:row>
    <x:row r="68">
      <x:c r="A68" t="str">
        <x:v>CASE-0616</x:v>
      </x:c>
      <x:c r="B68" s="22" t="str">
        <x:v>60-year-old male with hypomagnesaemia. Magnesium is 0.63 mmol/L; baseline is 0.46 mmol/L. Context: General adult presentation. Symptoms: tremor, cramps. IV fluids: No; CKD stage: None; heart failure: No; AKI: No; dialysis: No; eGFR: 49.1 mL/min/1.73m².</x:v>
      </x:c>
      <x:c r="C68" t="n">
        <x:v>60</x:v>
      </x:c>
      <x:c r="D68" t="str">
        <x:v>Male</x:v>
      </x:c>
      <x:c r="E68" t="str">
        <x:v>Not applicable</x:v>
      </x:c>
      <x:c r="F68" t="str">
        <x:v>Magnesium</x:v>
      </x:c>
      <x:c r="G68" t="str">
        <x:v>Hypomagnesaemia</x:v>
      </x:c>
      <x:c r="H68" t="n">
        <x:v>0.63</x:v>
      </x:c>
      <x:c r="I68" t="str">
        <x:v>mmol/L</x:v>
      </x:c>
      <x:c r="J68" s="22" t="str">
        <x:v>General adult presentation</x:v>
      </x:c>
      <x:c r="K68" s="22" t="str">
        <x:v>No</x:v>
      </x:c>
      <x:c r="L68" s="22" t="str">
        <x:v>No</x:v>
      </x:c>
      <x:c r="M68" s="22" t="n">
        <x:v>0.46</x:v>
      </x:c>
      <x:c r="N68" s="22" t="str">
        <x:v>None</x:v>
      </x:c>
      <x:c r="O68" s="22" t="str">
        <x:v>No</x:v>
      </x:c>
      <x:c r="P68" s="22" t="str">
        <x:v>No</x:v>
      </x:c>
      <x:c r="Q68" s="22" t="str">
        <x:v>Not applicable</x:v>
      </x:c>
      <x:c r="R68" s="22" t="str">
        <x:v>Not applicable</x:v>
      </x:c>
      <x:c r="S68" s="22" t="str">
        <x:v>No</x:v>
      </x:c>
      <x:c r="T68" s="22" t="str">
        <x:v>No</x:v>
      </x:c>
      <x:c r="U68" s="22" t="str">
        <x:v>No</x:v>
      </x:c>
      <x:c r="V68" s="22" t="str">
        <x:v>tremor, cramps</x:v>
      </x:c>
      <x:c r="W68" s="22" t="str">
        <x:v>No</x:v>
      </x:c>
      <x:c r="X68" s="22" t="str">
        <x:v>Hypovolaemic</x:v>
      </x:c>
      <x:c r="Y68" s="22" t="n">
        <x:v>49.1</x:v>
      </x:c>
      <x:c r="Z68" s="22" t="str">
        <x:v>NICE-UNSUPPORTED-001</x:v>
      </x:c>
      <x:c r="AA68" s="22" t="str">
        <x:v>No definitive NICE-only management</x:v>
      </x:c>
      <x:c r="AB68" s="22" t="str">
        <x:v>Clinical review required</x:v>
      </x:c>
      <x:c r="AC68" s="22" t="str">
        <x:v>No definitive NICE-only management output</x:v>
      </x:c>
      <x:c r="AD68" s="22" t="str">
        <x:v>Do not generate treatment instructions. Display that an approved local protocol or specialist review is required.</x:v>
      </x:c>
      <x:c r="AE68" s="22" t="str">
        <x:v>This is a safety rule, not a treatment recommendation.</x:v>
      </x:c>
      <x:c r="AF68" s="22" t="str"/>
      <x:c r="AG68" s="22" t="str"/>
      <x:c r="AH68" s="22" t="str">
        <x:v>Hypomagnesaemia adult General adult presentation guideline systematic review clinical review</x:v>
      </x:c>
      <x:c r="AI68" s="22" t="str">
        <x:v>train</x:v>
      </x:c>
      <x:c r="AJ68" s="22" t="str">
        <x:v>Yes</x:v>
      </x:c>
      <x:c r="AK68" s="22" t="str">
        <x:v>Pending</x:v>
      </x:c>
    </x:row>
    <x:row r="69">
      <x:c r="A69" t="str">
        <x:v>CASE-0766</x:v>
      </x:c>
      <x:c r="B69" s="22" t="str">
        <x:v>89-year-old female with hypermagnesaemia. Magnesium is 4.61 mmol/L; baseline is 2.96 mmol/L. Context: General adult presentation. Symptoms: None reported. IV fluids: No; CKD stage: None; heart failure: No; AKI: No; dialysis: No; eGFR: 64.1 mL/min/1.73m².</x:v>
      </x:c>
      <x:c r="C69" t="n">
        <x:v>89</x:v>
      </x:c>
      <x:c r="D69" t="str">
        <x:v>Female</x:v>
      </x:c>
      <x:c r="E69" t="str">
        <x:v>Not applicable</x:v>
      </x:c>
      <x:c r="F69" t="str">
        <x:v>Magnesium</x:v>
      </x:c>
      <x:c r="G69" t="str">
        <x:v>Hypermagnesaemia</x:v>
      </x:c>
      <x:c r="H69" t="n">
        <x:v>4.61</x:v>
      </x:c>
      <x:c r="I69" t="str">
        <x:v>mmol/L</x:v>
      </x:c>
      <x:c r="J69" s="22" t="str">
        <x:v>General adult presentation</x:v>
      </x:c>
      <x:c r="K69" s="22" t="str">
        <x:v>No</x:v>
      </x:c>
      <x:c r="L69" s="22" t="str">
        <x:v>No</x:v>
      </x:c>
      <x:c r="M69" s="22" t="n">
        <x:v>2.96</x:v>
      </x:c>
      <x:c r="N69" s="22" t="str">
        <x:v>None</x:v>
      </x:c>
      <x:c r="O69" s="22" t="str">
        <x:v>No</x:v>
      </x:c>
      <x:c r="P69" s="22" t="str">
        <x:v>No</x:v>
      </x:c>
      <x:c r="Q69" s="22" t="str">
        <x:v>Not applicable</x:v>
      </x:c>
      <x:c r="R69" s="22" t="str">
        <x:v>Not applicable</x:v>
      </x:c>
      <x:c r="S69" s="22" t="str">
        <x:v>No</x:v>
      </x:c>
      <x:c r="T69" s="22" t="str">
        <x:v>No</x:v>
      </x:c>
      <x:c r="U69" s="22" t="str">
        <x:v>No</x:v>
      </x:c>
      <x:c r="V69" s="22" t="str">
        <x:v>None reported</x:v>
      </x:c>
      <x:c r="W69" s="22" t="str">
        <x:v>No</x:v>
      </x:c>
      <x:c r="X69" s="22" t="str">
        <x:v>Hypervolaemic</x:v>
      </x:c>
      <x:c r="Y69" s="22" t="n">
        <x:v>64.1</x:v>
      </x:c>
      <x:c r="Z69" s="22" t="str">
        <x:v>NICE-UNSUPPORTED-001</x:v>
      </x:c>
      <x:c r="AA69" s="22" t="str">
        <x:v>No definitive NICE-only management</x:v>
      </x:c>
      <x:c r="AB69" s="22" t="str">
        <x:v>Clinical review required</x:v>
      </x:c>
      <x:c r="AC69" s="22" t="str">
        <x:v>No definitive NICE-only management output</x:v>
      </x:c>
      <x:c r="AD69" s="22" t="str">
        <x:v>Do not generate treatment instructions. Display that an approved local protocol or specialist review is required.</x:v>
      </x:c>
      <x:c r="AE69" s="22" t="str">
        <x:v>This is a safety rule, not a treatment recommendation.</x:v>
      </x:c>
      <x:c r="AF69" s="22" t="str"/>
      <x:c r="AG69" s="22" t="str"/>
      <x:c r="AH69" s="22" t="str">
        <x:v>Hypermagnesaemia adult General adult presentation guideline systematic review clinical review</x:v>
      </x:c>
      <x:c r="AI69" s="22" t="str">
        <x:v>train</x:v>
      </x:c>
      <x:c r="AJ69" s="22" t="str">
        <x:v>Yes</x:v>
      </x:c>
      <x:c r="AK69" s="22" t="str">
        <x:v>Pending</x:v>
      </x:c>
    </x:row>
    <x:row r="70">
      <x:c r="A70" t="str">
        <x:v>CASE-0666</x:v>
      </x:c>
      <x:c r="B70" s="22" t="str">
        <x:v>43-year-old female with hypomagnesaemia. Magnesium is 0.43 mmol/L; baseline is 0.37 mmol/L. Context: General adult presentation. Symptoms: tremor. IV fluids: No; CKD stage: None; heart failure: No; AKI: No; dialysis: No; eGFR: 21.1 mL/min/1.73m².</x:v>
      </x:c>
      <x:c r="C70" t="n">
        <x:v>43</x:v>
      </x:c>
      <x:c r="D70" t="str">
        <x:v>Female</x:v>
      </x:c>
      <x:c r="E70" t="str">
        <x:v>Not pregnant</x:v>
      </x:c>
      <x:c r="F70" t="str">
        <x:v>Magnesium</x:v>
      </x:c>
      <x:c r="G70" t="str">
        <x:v>Hypomagnesaemia</x:v>
      </x:c>
      <x:c r="H70" t="n">
        <x:v>0.43</x:v>
      </x:c>
      <x:c r="I70" t="str">
        <x:v>mmol/L</x:v>
      </x:c>
      <x:c r="J70" s="22" t="str">
        <x:v>General adult presentation</x:v>
      </x:c>
      <x:c r="K70" s="22" t="str">
        <x:v>No</x:v>
      </x:c>
      <x:c r="L70" s="22" t="str">
        <x:v>No</x:v>
      </x:c>
      <x:c r="M70" s="22" t="n">
        <x:v>0.37</x:v>
      </x:c>
      <x:c r="N70" s="22" t="str">
        <x:v>None</x:v>
      </x:c>
      <x:c r="O70" s="22" t="str">
        <x:v>No</x:v>
      </x:c>
      <x:c r="P70" s="22" t="str">
        <x:v>No</x:v>
      </x:c>
      <x:c r="Q70" s="22" t="str">
        <x:v>Not applicable</x:v>
      </x:c>
      <x:c r="R70" s="22" t="str">
        <x:v>Not applicable</x:v>
      </x:c>
      <x:c r="S70" s="22" t="str">
        <x:v>No</x:v>
      </x:c>
      <x:c r="T70" s="22" t="str">
        <x:v>No</x:v>
      </x:c>
      <x:c r="U70" s="22" t="str">
        <x:v>No</x:v>
      </x:c>
      <x:c r="V70" s="22" t="str">
        <x:v>tremor</x:v>
      </x:c>
      <x:c r="W70" s="22" t="str">
        <x:v>No</x:v>
      </x:c>
      <x:c r="X70" s="22" t="str">
        <x:v>Hypovolaemic</x:v>
      </x:c>
      <x:c r="Y70" s="22" t="n">
        <x:v>21.1</x:v>
      </x:c>
      <x:c r="Z70" s="22" t="str">
        <x:v>NICE-UNSUPPORTED-001</x:v>
      </x:c>
      <x:c r="AA70" s="22" t="str">
        <x:v>No definitive NICE-only management</x:v>
      </x:c>
      <x:c r="AB70" s="22" t="str">
        <x:v>Clinical review required</x:v>
      </x:c>
      <x:c r="AC70" s="22" t="str">
        <x:v>No definitive NICE-only management output</x:v>
      </x:c>
      <x:c r="AD70" s="22" t="str">
        <x:v>Do not generate treatment instructions. Display that an approved local protocol or specialist review is required.</x:v>
      </x:c>
      <x:c r="AE70" s="22" t="str">
        <x:v>This is a safety rule, not a treatment recommendation.</x:v>
      </x:c>
      <x:c r="AF70" s="22" t="str"/>
      <x:c r="AG70" s="22" t="str"/>
      <x:c r="AH70" s="22" t="str">
        <x:v>Hypomagnesaemia adult General adult presentation guideline systematic review clinical review</x:v>
      </x:c>
      <x:c r="AI70" s="22" t="str">
        <x:v>train</x:v>
      </x:c>
      <x:c r="AJ70" s="22" t="str">
        <x:v>Yes</x:v>
      </x:c>
      <x:c r="AK70" s="22" t="str">
        <x:v>Pending</x:v>
      </x:c>
    </x:row>
    <x:row r="71">
      <x:c r="A71" t="str">
        <x:v>CASE-0580</x:v>
      </x:c>
      <x:c r="B71" s="22" t="str">
        <x:v>30-year-old male with hypercalcaemia. Adjusted calcium is 3.42 mmol/L; baseline is 3.34 mmol/L. Context: Confirmed primary hyperparathyroidism. Symptoms: polyuria, confusion. IV fluids: No; CKD stage: None; heart failure: No; AKI: No; dialysis: No; eGFR: 115.3 mL/min/1.73m².</x:v>
      </x:c>
      <x:c r="C71" t="n">
        <x:v>30</x:v>
      </x:c>
      <x:c r="D71" t="str">
        <x:v>Male</x:v>
      </x:c>
      <x:c r="E71" t="str">
        <x:v>Not applicable</x:v>
      </x:c>
      <x:c r="F71" t="str">
        <x:v>Adjusted calcium</x:v>
      </x:c>
      <x:c r="G71" t="str">
        <x:v>Hypercalcaemia</x:v>
      </x:c>
      <x:c r="H71" t="n">
        <x:v>3.42</x:v>
      </x:c>
      <x:c r="I71" t="str">
        <x:v>mmol/L</x:v>
      </x:c>
      <x:c r="J71" s="22" t="str">
        <x:v>Confirmed primary hyperparathyroidism</x:v>
      </x:c>
      <x:c r="K71" s="22" t="str">
        <x:v>No</x:v>
      </x:c>
      <x:c r="L71" s="22" t="str">
        <x:v>No</x:v>
      </x:c>
      <x:c r="M71" s="22" t="n">
        <x:v>3.34</x:v>
      </x:c>
      <x:c r="N71" s="22" t="str">
        <x:v>None</x:v>
      </x:c>
      <x:c r="O71" s="22" t="str">
        <x:v>No</x:v>
      </x:c>
      <x:c r="P71" s="22" t="str">
        <x:v>No</x:v>
      </x:c>
      <x:c r="Q71" s="22" t="str">
        <x:v>Not applicable</x:v>
      </x:c>
      <x:c r="R71" s="22" t="str">
        <x:v>Not applicable</x:v>
      </x:c>
      <x:c r="S71" s="22" t="str">
        <x:v>No</x:v>
      </x:c>
      <x:c r="T71" s="22" t="str">
        <x:v>Yes</x:v>
      </x:c>
      <x:c r="U71" s="22" t="str">
        <x:v>No</x:v>
      </x:c>
      <x:c r="V71" s="22" t="str">
        <x:v>polyuria, confusion</x:v>
      </x:c>
      <x:c r="W71" s="22" t="str">
        <x:v>No</x:v>
      </x:c>
      <x:c r="X71" s="22" t="str">
        <x:v>Hypervolaemic</x:v>
      </x:c>
      <x:c r="Y71" s="22" t="n">
        <x:v>115.3</x:v>
      </x:c>
      <x:c r="Z71" s="22" t="str">
        <x:v>NICE-CA-PHPT-REFER-001</x:v>
      </x:c>
      <x:c r="AA71" s="22" t="str">
        <x:v>Specific context-based NICE guidance</x:v>
      </x:c>
      <x:c r="AB71" s="22" t="str">
        <x:v>Specialist surgical referral</x:v>
      </x:c>
      <x:c r="AC71" s="22" t="str">
        <x:v>Specific NICE referral guidance</x:v>
      </x:c>
      <x:c r="AD71" s="22" t="str">
        <x:v>Refer to a surgeon with expertise in parathyroid surgery when one or more stated NICE criteria are present.</x:v>
      </x:c>
      <x:c r="AE71" s="22" t="str">
        <x:v>Applies only to confirmed primary hyperparathyroidism.</x:v>
      </x:c>
      <x:c r="AF71" s="22" t="str">
        <x:v>NICE-NG132</x:v>
      </x:c>
      <x:c r="AG71" s="22" t="str">
        <x:v>1.3.1 and 1.3.2</x:v>
      </x:c>
      <x:c r="AH71" s="22" t="str">
        <x:v>Hypercalcaemia adult Confirmed primary hyperparathyroidism guideline systematic review clinical review</x:v>
      </x:c>
      <x:c r="AI71" s="22" t="str">
        <x:v>train</x:v>
      </x:c>
      <x:c r="AJ71" s="22" t="str">
        <x:v>Yes</x:v>
      </x:c>
      <x:c r="AK71" s="22" t="str">
        <x:v>Pending</x:v>
      </x:c>
    </x:row>
    <x:row r="72">
      <x:c r="A72" t="str">
        <x:v>CASE-0911</x:v>
      </x:c>
      <x:c r="B72" s="22" t="str">
        <x:v>73-year-old male with no detected adjusted calcium abnormality. Adjusted calcium is 2.26 mmol/L. General adult presentation.</x:v>
      </x:c>
      <x:c r="C72" t="n">
        <x:v>73</x:v>
      </x:c>
      <x:c r="D72" t="str">
        <x:v>Male</x:v>
      </x:c>
      <x:c r="E72" t="str">
        <x:v>Not applicable</x:v>
      </x:c>
      <x:c r="F72" t="str">
        <x:v>Adjusted calcium</x:v>
      </x:c>
      <x:c r="G72" t="str">
        <x:v>No abnormality detected</x:v>
      </x:c>
      <x:c r="H72" t="n">
        <x:v>2.26</x:v>
      </x:c>
      <x:c r="I72" t="str">
        <x:v>mmol/L</x:v>
      </x:c>
      <x:c r="J72" s="22" t="str">
        <x:v>General adult presentation</x:v>
      </x:c>
      <x:c r="K72" s="22" t="str">
        <x:v>No</x:v>
      </x:c>
      <x:c r="L72" s="22" t="str">
        <x:v>No</x:v>
      </x:c>
      <x:c r="M72" s="22" t="n">
        <x:v>2.26</x:v>
      </x:c>
      <x:c r="N72" s="22" t="str">
        <x:v>None</x:v>
      </x:c>
      <x:c r="O72" s="22" t="str">
        <x:v>No</x:v>
      </x:c>
      <x:c r="P72" s="22" t="str">
        <x:v>No</x:v>
      </x:c>
      <x:c r="Q72" s="22" t="str">
        <x:v>Not applicable</x:v>
      </x:c>
      <x:c r="R72" s="22" t="str">
        <x:v>Not applicable</x:v>
      </x:c>
      <x:c r="S72" s="22" t="str">
        <x:v>No</x:v>
      </x:c>
      <x:c r="T72" s="22" t="str">
        <x:v>No</x:v>
      </x:c>
      <x:c r="U72" s="22" t="str">
        <x:v>No</x:v>
      </x:c>
      <x:c r="V72" s="22" t="str">
        <x:v>None reported</x:v>
      </x:c>
      <x:c r="W72" s="22" t="str">
        <x:v>No</x:v>
      </x:c>
      <x:c r="X72" s="22" t="str">
        <x:v>Euvolaemic</x:v>
      </x:c>
      <x:c r="Y72" s="22" t="n">
        <x:v>74.4</x:v>
      </x:c>
      <x:c r="Z72" s="22" t="str">
        <x:v>NICE-GLOBAL-ASSESS-001</x:v>
      </x:c>
      <x:c r="AA72" s="22" t="str">
        <x:v>General NICE assessment only</x:v>
      </x:c>
      <x:c r="AB72" s="22" t="str">
        <x:v>Routine review</x:v>
      </x:c>
      <x:c r="AC72" s="22" t="str">
        <x:v>No abnormality-specific management</x:v>
      </x:c>
      <x:c r="AD72" s="22" t="str">
        <x:v>No electrolyte abnormality is detected by the synthetic reference range; interpret the result with the full clinical picture.</x:v>
      </x:c>
      <x:c r="AE72" s="22" t="str">
        <x:v>Synthetic reference ranges are not NICE management thresholds.</x:v>
      </x:c>
      <x:c r="AF72" s="22" t="str">
        <x:v>NICE-CG174</x:v>
      </x:c>
      <x:c r="AG72" s="22" t="str">
        <x:v>1.1.1 and 1.2.2</x:v>
      </x:c>
      <x:c r="AH72" s="22" t="str">
        <x:v>Adjusted calcium reference interval adult laboratory interpretation</x:v>
      </x:c>
      <x:c r="AI72" s="22" t="str">
        <x:v>train</x:v>
      </x:c>
      <x:c r="AJ72" s="22" t="str">
        <x:v>Yes</x:v>
      </x:c>
      <x:c r="AK72" s="22" t="str">
        <x:v>Pending</x:v>
      </x:c>
    </x:row>
    <x:row r="73">
      <x:c r="A73" t="str">
        <x:v>CASE-0047</x:v>
      </x:c>
      <x:c r="B73" s="22" t="str">
        <x:v>27-year-old female with hyponatraemia. Sodium is 121.1 mmol/L; baseline is 140.1 mmol/L. Context: IV-fluid-related. Symptoms: None reported. IV fluids: Yes; CKD stage: None; heart failure: No; AKI: No; dialysis: No; eGFR: 49.9 mL/min/1.73m².</x:v>
      </x:c>
      <x:c r="C73" t="n">
        <x:v>27</x:v>
      </x:c>
      <x:c r="D73" t="str">
        <x:v>Female</x:v>
      </x:c>
      <x:c r="E73" t="str">
        <x:v>Not pregnant</x:v>
      </x:c>
      <x:c r="F73" t="str">
        <x:v>Sodium</x:v>
      </x:c>
      <x:c r="G73" t="str">
        <x:v>Hyponatraemia</x:v>
      </x:c>
      <x:c r="H73" t="n">
        <x:v>121.1</x:v>
      </x:c>
      <x:c r="I73" t="str">
        <x:v>mmol/L</x:v>
      </x:c>
      <x:c r="J73" s="22" t="str">
        <x:v>IV-fluid-related</x:v>
      </x:c>
      <x:c r="K73" s="22" t="str">
        <x:v>Yes</x:v>
      </x:c>
      <x:c r="L73" s="22" t="str">
        <x:v>No</x:v>
      </x:c>
      <x:c r="M73" s="22" t="n">
        <x:v>140.1</x:v>
      </x:c>
      <x:c r="N73" s="22" t="str">
        <x:v>None</x:v>
      </x:c>
      <x:c r="O73" s="22" t="str">
        <x:v>No</x:v>
      </x:c>
      <x:c r="P73" s="22" t="str">
        <x:v>No</x:v>
      </x:c>
      <x:c r="Q73" s="22" t="str">
        <x:v>Not applicable</x:v>
      </x:c>
      <x:c r="R73" s="22" t="str">
        <x:v>Not applicable</x:v>
      </x:c>
      <x:c r="S73" s="22" t="str">
        <x:v>No</x:v>
      </x:c>
      <x:c r="T73" s="22" t="str">
        <x:v>No</x:v>
      </x:c>
      <x:c r="U73" s="22" t="str">
        <x:v>No</x:v>
      </x:c>
      <x:c r="V73" s="22" t="str">
        <x:v>None reported</x:v>
      </x:c>
      <x:c r="W73" s="22" t="str">
        <x:v>No</x:v>
      </x:c>
      <x:c r="X73" s="22" t="str">
        <x:v>Hypervolaemic</x:v>
      </x:c>
      <x:c r="Y73" s="22" t="n">
        <x:v>49.9</x:v>
      </x:c>
      <x:c r="Z73" s="22" t="str">
        <x:v>NICE-NA-HYPO-IV-001</x:v>
      </x:c>
      <x:c r="AA73" s="22" t="str">
        <x:v>NICE detection / reassessment / escalation</x:v>
      </x:c>
      <x:c r="AB73" s="22" t="str">
        <x:v>Urgent review</x:v>
      </x:c>
      <x:c r="AC73" s="22" t="str">
        <x:v>NICE detection, reassessment and escalation</x:v>
      </x:c>
      <x:c r="AD73" s="22" t="str">
        <x:v>Treat as possible IV-fluid mismanagement: reassess the fluid prescription and monitoring plan, and seek expert help for a complex imbalance.</x:v>
      </x:c>
      <x:c r="AE73" s="22" t="str">
        <x:v>No definitive sodium-correction regimen is provided by CG174.</x:v>
      </x:c>
      <x:c r="AF73" s="22" t="str">
        <x:v>NICE-CG174</x:v>
      </x:c>
      <x:c r="AG73" s="22" t="str">
        <x:v>1.2.4, 1.5.1, 1.5.2, Table 1</x:v>
      </x:c>
      <x:c r="AH73" s="22" t="str">
        <x:v>Hyponatraemia adult IV-fluid-related guideline systematic review clinical review</x:v>
      </x:c>
      <x:c r="AI73" s="22" t="str">
        <x:v>train</x:v>
      </x:c>
      <x:c r="AJ73" s="22" t="str">
        <x:v>Yes</x:v>
      </x:c>
      <x:c r="AK73" s="22" t="str">
        <x:v>Pending</x:v>
      </x:c>
    </x:row>
    <x:row r="74">
      <x:c r="A74" t="str">
        <x:v>CASE-0904</x:v>
      </x:c>
      <x:c r="B74" s="22" t="str">
        <x:v>77-year-old male with no detected adjusted calcium abnormality. Adjusted calcium is 2.37 mmol/L. General adult presentation.</x:v>
      </x:c>
      <x:c r="C74" t="n">
        <x:v>77</x:v>
      </x:c>
      <x:c r="D74" t="str">
        <x:v>Male</x:v>
      </x:c>
      <x:c r="E74" t="str">
        <x:v>Not applicable</x:v>
      </x:c>
      <x:c r="F74" t="str">
        <x:v>Adjusted calcium</x:v>
      </x:c>
      <x:c r="G74" t="str">
        <x:v>No abnormality detected</x:v>
      </x:c>
      <x:c r="H74" t="n">
        <x:v>2.37</x:v>
      </x:c>
      <x:c r="I74" t="str">
        <x:v>mmol/L</x:v>
      </x:c>
      <x:c r="J74" s="22" t="str">
        <x:v>General adult presentation</x:v>
      </x:c>
      <x:c r="K74" s="22" t="str">
        <x:v>No</x:v>
      </x:c>
      <x:c r="L74" s="22" t="str">
        <x:v>No</x:v>
      </x:c>
      <x:c r="M74" s="22" t="n">
        <x:v>2.37</x:v>
      </x:c>
      <x:c r="N74" s="22" t="str">
        <x:v>None</x:v>
      </x:c>
      <x:c r="O74" s="22" t="str">
        <x:v>No</x:v>
      </x:c>
      <x:c r="P74" s="22" t="str">
        <x:v>No</x:v>
      </x:c>
      <x:c r="Q74" s="22" t="str">
        <x:v>Not applicable</x:v>
      </x:c>
      <x:c r="R74" s="22" t="str">
        <x:v>Not applicable</x:v>
      </x:c>
      <x:c r="S74" s="22" t="str">
        <x:v>No</x:v>
      </x:c>
      <x:c r="T74" s="22" t="str">
        <x:v>No</x:v>
      </x:c>
      <x:c r="U74" s="22" t="str">
        <x:v>No</x:v>
      </x:c>
      <x:c r="V74" s="22" t="str">
        <x:v>None reported</x:v>
      </x:c>
      <x:c r="W74" s="22" t="str">
        <x:v>No</x:v>
      </x:c>
      <x:c r="X74" s="22" t="str">
        <x:v>Euvolaemic</x:v>
      </x:c>
      <x:c r="Y74" s="22" t="n">
        <x:v>109.3</x:v>
      </x:c>
      <x:c r="Z74" s="22" t="str">
        <x:v>NICE-GLOBAL-ASSESS-001</x:v>
      </x:c>
      <x:c r="AA74" s="22" t="str">
        <x:v>General NICE assessment only</x:v>
      </x:c>
      <x:c r="AB74" s="22" t="str">
        <x:v>Routine review</x:v>
      </x:c>
      <x:c r="AC74" s="22" t="str">
        <x:v>No abnormality-specific management</x:v>
      </x:c>
      <x:c r="AD74" s="22" t="str">
        <x:v>No electrolyte abnormality is detected by the synthetic reference range; interpret the result with the full clinical picture.</x:v>
      </x:c>
      <x:c r="AE74" s="22" t="str">
        <x:v>Synthetic reference ranges are not NICE management thresholds.</x:v>
      </x:c>
      <x:c r="AF74" s="22" t="str">
        <x:v>NICE-CG174</x:v>
      </x:c>
      <x:c r="AG74" s="22" t="str">
        <x:v>1.1.1 and 1.2.2</x:v>
      </x:c>
      <x:c r="AH74" s="22" t="str">
        <x:v>Adjusted calcium reference interval adult laboratory interpretation</x:v>
      </x:c>
      <x:c r="AI74" s="22" t="str">
        <x:v>train</x:v>
      </x:c>
      <x:c r="AJ74" s="22" t="str">
        <x:v>Yes</x:v>
      </x:c>
      <x:c r="AK74" s="22" t="str">
        <x:v>Pending</x:v>
      </x:c>
    </x:row>
    <x:row r="75">
      <x:c r="A75" t="str">
        <x:v>CASE-0201</x:v>
      </x:c>
      <x:c r="B75" s="22" t="str">
        <x:v>22-year-old female with hypokalaemia. Potassium is 2.71 mmol/L; baseline is 3.26 mmol/L. Context: General adult presentation. Symptoms: None reported. IV fluids: No; CKD stage: None; heart failure: No; AKI: No; dialysis: No; eGFR: 80.6 mL/min/1.73m².</x:v>
      </x:c>
      <x:c r="C75" t="n">
        <x:v>22</x:v>
      </x:c>
      <x:c r="D75" t="str">
        <x:v>Female</x:v>
      </x:c>
      <x:c r="E75" t="str">
        <x:v>Not pregnant</x:v>
      </x:c>
      <x:c r="F75" t="str">
        <x:v>Potassium</x:v>
      </x:c>
      <x:c r="G75" t="str">
        <x:v>Hypokalaemia</x:v>
      </x:c>
      <x:c r="H75" t="n">
        <x:v>2.71</x:v>
      </x:c>
      <x:c r="I75" t="str">
        <x:v>mmol/L</x:v>
      </x:c>
      <x:c r="J75" s="22" t="str">
        <x:v>General adult presentation</x:v>
      </x:c>
      <x:c r="K75" s="22" t="str">
        <x:v>No</x:v>
      </x:c>
      <x:c r="L75" s="22" t="str">
        <x:v>No</x:v>
      </x:c>
      <x:c r="M75" s="22" t="n">
        <x:v>3.26</x:v>
      </x:c>
      <x:c r="N75" s="22" t="str">
        <x:v>None</x:v>
      </x:c>
      <x:c r="O75" s="22" t="str">
        <x:v>No</x:v>
      </x:c>
      <x:c r="P75" s="22" t="str">
        <x:v>No</x:v>
      </x:c>
      <x:c r="Q75" s="22" t="str">
        <x:v>Not applicable</x:v>
      </x:c>
      <x:c r="R75" s="22" t="str">
        <x:v>Not applicable</x:v>
      </x:c>
      <x:c r="S75" s="22" t="str">
        <x:v>No</x:v>
      </x:c>
      <x:c r="T75" s="22" t="str">
        <x:v>No</x:v>
      </x:c>
      <x:c r="U75" s="22" t="str">
        <x:v>No</x:v>
      </x:c>
      <x:c r="V75" s="22" t="str">
        <x:v>None reported</x:v>
      </x:c>
      <x:c r="W75" s="22" t="str">
        <x:v>No</x:v>
      </x:c>
      <x:c r="X75" s="22" t="str">
        <x:v>Hypervolaemic</x:v>
      </x:c>
      <x:c r="Y75" s="22" t="n">
        <x:v>80.6</x:v>
      </x:c>
      <x:c r="Z75" s="22" t="str">
        <x:v>NICE-UNSUPPORTED-001</x:v>
      </x:c>
      <x:c r="AA75" s="22" t="str">
        <x:v>No definitive NICE-only management</x:v>
      </x:c>
      <x:c r="AB75" s="22" t="str">
        <x:v>Clinical review required</x:v>
      </x:c>
      <x:c r="AC75" s="22" t="str">
        <x:v>No definitive NICE-only management output</x:v>
      </x:c>
      <x:c r="AD75" s="22" t="str">
        <x:v>Do not generate treatment instructions. Display that an approved local protocol or specialist review is required.</x:v>
      </x:c>
      <x:c r="AE75" s="22" t="str">
        <x:v>This is a safety rule, not a treatment recommendation.</x:v>
      </x:c>
      <x:c r="AF75" s="22" t="str"/>
      <x:c r="AG75" s="22" t="str"/>
      <x:c r="AH75" s="22" t="str">
        <x:v>Hypokalaemia adult General adult presentation guideline systematic review clinical review</x:v>
      </x:c>
      <x:c r="AI75" s="22" t="str">
        <x:v>validation</x:v>
      </x:c>
      <x:c r="AJ75" s="22" t="str">
        <x:v>Yes</x:v>
      </x:c>
      <x:c r="AK75" s="22" t="str">
        <x:v>Pending</x:v>
      </x:c>
    </x:row>
    <x:row r="76">
      <x:c r="A76" t="str">
        <x:v>CASE-0040</x:v>
      </x:c>
      <x:c r="B76" s="22" t="str">
        <x:v>55-year-old male with hyponatraemia. Sodium is 129.2 mmol/L; baseline is 117.0 mmol/L. Context: General adult presentation. Symptoms: lethargy. IV fluids: No; CKD stage: None; heart failure: No; AKI: No; dialysis: No; eGFR: 14.6 mL/min/1.73m².</x:v>
      </x:c>
      <x:c r="C76" t="n">
        <x:v>55</x:v>
      </x:c>
      <x:c r="D76" t="str">
        <x:v>Male</x:v>
      </x:c>
      <x:c r="E76" t="str">
        <x:v>Not applicable</x:v>
      </x:c>
      <x:c r="F76" t="str">
        <x:v>Sodium</x:v>
      </x:c>
      <x:c r="G76" t="str">
        <x:v>Hyponatraemia</x:v>
      </x:c>
      <x:c r="H76" t="n">
        <x:v>129.2</x:v>
      </x:c>
      <x:c r="I76" t="str">
        <x:v>mmol/L</x:v>
      </x:c>
      <x:c r="J76" s="22" t="str">
        <x:v>General adult presentation</x:v>
      </x:c>
      <x:c r="K76" s="22" t="str">
        <x:v>No</x:v>
      </x:c>
      <x:c r="L76" s="22" t="str">
        <x:v>No</x:v>
      </x:c>
      <x:c r="M76" s="22" t="n">
        <x:v>117</x:v>
      </x:c>
      <x:c r="N76" s="22" t="str">
        <x:v>None</x:v>
      </x:c>
      <x:c r="O76" s="22" t="str">
        <x:v>No</x:v>
      </x:c>
      <x:c r="P76" s="22" t="str">
        <x:v>No</x:v>
      </x:c>
      <x:c r="Q76" s="22" t="str">
        <x:v>Not applicable</x:v>
      </x:c>
      <x:c r="R76" s="22" t="str">
        <x:v>Not applicable</x:v>
      </x:c>
      <x:c r="S76" s="22" t="str">
        <x:v>No</x:v>
      </x:c>
      <x:c r="T76" s="22" t="str">
        <x:v>No</x:v>
      </x:c>
      <x:c r="U76" s="22" t="str">
        <x:v>No</x:v>
      </x:c>
      <x:c r="V76" s="22" t="str">
        <x:v>lethargy</x:v>
      </x:c>
      <x:c r="W76" s="22" t="str">
        <x:v>No</x:v>
      </x:c>
      <x:c r="X76" s="22" t="str">
        <x:v>Hypovolaemic</x:v>
      </x:c>
      <x:c r="Y76" s="22" t="n">
        <x:v>14.6</x:v>
      </x:c>
      <x:c r="Z76" s="22" t="str">
        <x:v>NICE-UNSUPPORTED-001</x:v>
      </x:c>
      <x:c r="AA76" s="22" t="str">
        <x:v>No definitive NICE-only management</x:v>
      </x:c>
      <x:c r="AB76" s="22" t="str">
        <x:v>Clinical review required</x:v>
      </x:c>
      <x:c r="AC76" s="22" t="str">
        <x:v>No definitive NICE-only management output</x:v>
      </x:c>
      <x:c r="AD76" s="22" t="str">
        <x:v>Do not generate treatment instructions. Display that an approved local protocol or specialist review is required.</x:v>
      </x:c>
      <x:c r="AE76" s="22" t="str">
        <x:v>This is a safety rule, not a treatment recommendation.</x:v>
      </x:c>
      <x:c r="AF76" s="22" t="str"/>
      <x:c r="AG76" s="22" t="str"/>
      <x:c r="AH76" s="22" t="str">
        <x:v>Hyponatraemia adult General adult presentation guideline systematic review clinical review</x:v>
      </x:c>
      <x:c r="AI76" s="22" t="str">
        <x:v>validation</x:v>
      </x:c>
      <x:c r="AJ76" s="22" t="str">
        <x:v>Yes</x:v>
      </x:c>
      <x:c r="AK76" s="22" t="str">
        <x:v>Pending</x:v>
      </x:c>
    </x:row>
    <x:row r="77">
      <x:c r="A77" t="str">
        <x:v>CASE-0526</x:v>
      </x:c>
      <x:c r="B77" s="22" t="str">
        <x:v>34-year-old female with hypercalcaemia. Adjusted calcium is 3.05 mmol/L; baseline is 3.22 mmol/L. Context: Confirmed primary hyperparathyroidism. Symptoms: confusion. IV fluids: No; CKD stage: None; heart failure: No; AKI: No; dialysis: No; eGFR: 94.2 mL/min/1.73m².</x:v>
      </x:c>
      <x:c r="C77" t="n">
        <x:v>34</x:v>
      </x:c>
      <x:c r="D77" t="str">
        <x:v>Female</x:v>
      </x:c>
      <x:c r="E77" t="str">
        <x:v>Not pregnant</x:v>
      </x:c>
      <x:c r="F77" t="str">
        <x:v>Adjusted calcium</x:v>
      </x:c>
      <x:c r="G77" t="str">
        <x:v>Hypercalcaemia</x:v>
      </x:c>
      <x:c r="H77" t="n">
        <x:v>3.05</x:v>
      </x:c>
      <x:c r="I77" t="str">
        <x:v>mmol/L</x:v>
      </x:c>
      <x:c r="J77" s="22" t="str">
        <x:v>Confirmed primary hyperparathyroidism</x:v>
      </x:c>
      <x:c r="K77" s="22" t="str">
        <x:v>No</x:v>
      </x:c>
      <x:c r="L77" s="22" t="str">
        <x:v>No</x:v>
      </x:c>
      <x:c r="M77" s="22" t="n">
        <x:v>3.22</x:v>
      </x:c>
      <x:c r="N77" s="22" t="str">
        <x:v>None</x:v>
      </x:c>
      <x:c r="O77" s="22" t="str">
        <x:v>No</x:v>
      </x:c>
      <x:c r="P77" s="22" t="str">
        <x:v>No</x:v>
      </x:c>
      <x:c r="Q77" s="22" t="str">
        <x:v>Not applicable</x:v>
      </x:c>
      <x:c r="R77" s="22" t="str">
        <x:v>Not applicable</x:v>
      </x:c>
      <x:c r="S77" s="22" t="str">
        <x:v>No</x:v>
      </x:c>
      <x:c r="T77" s="22" t="str">
        <x:v>Yes</x:v>
      </x:c>
      <x:c r="U77" s="22" t="str">
        <x:v>No</x:v>
      </x:c>
      <x:c r="V77" s="22" t="str">
        <x:v>confusion</x:v>
      </x:c>
      <x:c r="W77" s="22" t="str">
        <x:v>Yes</x:v>
      </x:c>
      <x:c r="X77" s="22" t="str">
        <x:v>Uncertain</x:v>
      </x:c>
      <x:c r="Y77" s="22" t="n">
        <x:v>94.2</x:v>
      </x:c>
      <x:c r="Z77" s="22" t="str">
        <x:v>NICE-CA-PHPT-REFER-001</x:v>
      </x:c>
      <x:c r="AA77" s="22" t="str">
        <x:v>Specific context-based NICE guidance</x:v>
      </x:c>
      <x:c r="AB77" s="22" t="str">
        <x:v>Specialist surgical referral</x:v>
      </x:c>
      <x:c r="AC77" s="22" t="str">
        <x:v>Specific NICE referral guidance</x:v>
      </x:c>
      <x:c r="AD77" s="22" t="str">
        <x:v>Refer to a surgeon with expertise in parathyroid surgery when one or more stated NICE criteria are present.</x:v>
      </x:c>
      <x:c r="AE77" s="22" t="str">
        <x:v>Applies only to confirmed primary hyperparathyroidism.</x:v>
      </x:c>
      <x:c r="AF77" s="22" t="str">
        <x:v>NICE-NG132</x:v>
      </x:c>
      <x:c r="AG77" s="22" t="str">
        <x:v>1.3.1 and 1.3.2</x:v>
      </x:c>
      <x:c r="AH77" s="22" t="str">
        <x:v>Hypercalcaemia adult Confirmed primary hyperparathyroidism guideline systematic review clinical review</x:v>
      </x:c>
      <x:c r="AI77" s="22" t="str">
        <x:v>validation</x:v>
      </x:c>
      <x:c r="AJ77" s="22" t="str">
        <x:v>Yes</x:v>
      </x:c>
      <x:c r="AK77" s="22" t="str">
        <x:v>Pending</x:v>
      </x:c>
    </x:row>
    <x:row r="78">
      <x:c r="A78" t="str">
        <x:v>CASE-0011</x:v>
      </x:c>
      <x:c r="B78" s="22" t="str">
        <x:v>75-year-old female with hyponatraemia. Sodium is 134.9 mmol/L; baseline is 144.6 mmol/L. Context: IV-fluid-related. Symptoms: seizure. IV fluids: Yes; CKD stage: None; heart failure: No; AKI: No; dialysis: No; eGFR: 65.6 mL/min/1.73m².</x:v>
      </x:c>
      <x:c r="C78" t="n">
        <x:v>75</x:v>
      </x:c>
      <x:c r="D78" t="str">
        <x:v>Female</x:v>
      </x:c>
      <x:c r="E78" t="str">
        <x:v>Not applicable</x:v>
      </x:c>
      <x:c r="F78" t="str">
        <x:v>Sodium</x:v>
      </x:c>
      <x:c r="G78" t="str">
        <x:v>Hyponatraemia</x:v>
      </x:c>
      <x:c r="H78" t="n">
        <x:v>134.9</x:v>
      </x:c>
      <x:c r="I78" t="str">
        <x:v>mmol/L</x:v>
      </x:c>
      <x:c r="J78" s="22" t="str">
        <x:v>IV-fluid-related</x:v>
      </x:c>
      <x:c r="K78" s="22" t="str">
        <x:v>Yes</x:v>
      </x:c>
      <x:c r="L78" s="22" t="str">
        <x:v>No</x:v>
      </x:c>
      <x:c r="M78" s="22" t="n">
        <x:v>144.6</x:v>
      </x:c>
      <x:c r="N78" s="22" t="str">
        <x:v>None</x:v>
      </x:c>
      <x:c r="O78" s="22" t="str">
        <x:v>No</x:v>
      </x:c>
      <x:c r="P78" s="22" t="str">
        <x:v>No</x:v>
      </x:c>
      <x:c r="Q78" s="22" t="str">
        <x:v>Not applicable</x:v>
      </x:c>
      <x:c r="R78" s="22" t="str">
        <x:v>Not applicable</x:v>
      </x:c>
      <x:c r="S78" s="22" t="str">
        <x:v>No</x:v>
      </x:c>
      <x:c r="T78" s="22" t="str">
        <x:v>No</x:v>
      </x:c>
      <x:c r="U78" s="22" t="str">
        <x:v>No</x:v>
      </x:c>
      <x:c r="V78" s="22" t="str">
        <x:v>seizure</x:v>
      </x:c>
      <x:c r="W78" s="22" t="str">
        <x:v>No</x:v>
      </x:c>
      <x:c r="X78" s="22" t="str">
        <x:v>Hypervolaemic</x:v>
      </x:c>
      <x:c r="Y78" s="22" t="n">
        <x:v>65.6</x:v>
      </x:c>
      <x:c r="Z78" s="22" t="str">
        <x:v>NICE-UNSUPPORTED-001</x:v>
      </x:c>
      <x:c r="AA78" s="22" t="str">
        <x:v>No definitive NICE-only management</x:v>
      </x:c>
      <x:c r="AB78" s="22" t="str">
        <x:v>Clinical review required</x:v>
      </x:c>
      <x:c r="AC78" s="22" t="str">
        <x:v>No definitive NICE-only management output</x:v>
      </x:c>
      <x:c r="AD78" s="22" t="str">
        <x:v>Do not generate treatment instructions. Display that an approved local protocol or specialist review is required.</x:v>
      </x:c>
      <x:c r="AE78" s="22" t="str">
        <x:v>This is a safety rule, not a treatment recommendation.</x:v>
      </x:c>
      <x:c r="AF78" s="22" t="str"/>
      <x:c r="AG78" s="22" t="str"/>
      <x:c r="AH78" s="22" t="str">
        <x:v>Hyponatraemia adult IV-fluid-related guideline systematic review clinical review</x:v>
      </x:c>
      <x:c r="AI78" s="22" t="str">
        <x:v>test</x:v>
      </x:c>
      <x:c r="AJ78" s="22" t="str">
        <x:v>Yes</x:v>
      </x:c>
      <x:c r="AK78" s="22" t="str">
        <x:v>Pending</x:v>
      </x:c>
    </x:row>
    <x:row r="79">
      <x:c r="A79" t="str">
        <x:v>CASE-0726</x:v>
      </x:c>
      <x:c r="B79" s="22" t="str">
        <x:v>62-year-old male with hypermagnesaemia. Magnesium is 4.33 mmol/L; baseline is 4.99 mmol/L. Context: General adult presentation. Symptoms: confusion. IV fluids: No; CKD stage: None; heart failure: No; AKI: No; dialysis: No; eGFR: 112.3 mL/min/1.73m².</x:v>
      </x:c>
      <x:c r="C79" t="n">
        <x:v>62</x:v>
      </x:c>
      <x:c r="D79" t="str">
        <x:v>Male</x:v>
      </x:c>
      <x:c r="E79" t="str">
        <x:v>Not applicable</x:v>
      </x:c>
      <x:c r="F79" t="str">
        <x:v>Magnesium</x:v>
      </x:c>
      <x:c r="G79" t="str">
        <x:v>Hypermagnesaemia</x:v>
      </x:c>
      <x:c r="H79" t="n">
        <x:v>4.33</x:v>
      </x:c>
      <x:c r="I79" t="str">
        <x:v>mmol/L</x:v>
      </x:c>
      <x:c r="J79" s="22" t="str">
        <x:v>General adult presentation</x:v>
      </x:c>
      <x:c r="K79" s="22" t="str">
        <x:v>No</x:v>
      </x:c>
      <x:c r="L79" s="22" t="str">
        <x:v>No</x:v>
      </x:c>
      <x:c r="M79" s="22" t="n">
        <x:v>4.99</x:v>
      </x:c>
      <x:c r="N79" s="22" t="str">
        <x:v>None</x:v>
      </x:c>
      <x:c r="O79" s="22" t="str">
        <x:v>No</x:v>
      </x:c>
      <x:c r="P79" s="22" t="str">
        <x:v>No</x:v>
      </x:c>
      <x:c r="Q79" s="22" t="str">
        <x:v>Not applicable</x:v>
      </x:c>
      <x:c r="R79" s="22" t="str">
        <x:v>Not applicable</x:v>
      </x:c>
      <x:c r="S79" s="22" t="str">
        <x:v>No</x:v>
      </x:c>
      <x:c r="T79" s="22" t="str">
        <x:v>No</x:v>
      </x:c>
      <x:c r="U79" s="22" t="str">
        <x:v>No</x:v>
      </x:c>
      <x:c r="V79" s="22" t="str">
        <x:v>confusion</x:v>
      </x:c>
      <x:c r="W79" s="22" t="str">
        <x:v>No</x:v>
      </x:c>
      <x:c r="X79" s="22" t="str">
        <x:v>Euvolaemic</x:v>
      </x:c>
      <x:c r="Y79" s="22" t="n">
        <x:v>112.3</x:v>
      </x:c>
      <x:c r="Z79" s="22" t="str">
        <x:v>NICE-UNSUPPORTED-001</x:v>
      </x:c>
      <x:c r="AA79" s="22" t="str">
        <x:v>No definitive NICE-only management</x:v>
      </x:c>
      <x:c r="AB79" s="22" t="str">
        <x:v>Clinical review required</x:v>
      </x:c>
      <x:c r="AC79" s="22" t="str">
        <x:v>No definitive NICE-only management output</x:v>
      </x:c>
      <x:c r="AD79" s="22" t="str">
        <x:v>Do not generate treatment instructions. Display that an approved local protocol or specialist review is required.</x:v>
      </x:c>
      <x:c r="AE79" s="22" t="str">
        <x:v>This is a safety rule, not a treatment recommendation.</x:v>
      </x:c>
      <x:c r="AF79" s="22" t="str"/>
      <x:c r="AG79" s="22" t="str"/>
      <x:c r="AH79" s="22" t="str">
        <x:v>Hypermagnesaemia adult General adult presentation guideline systematic review clinical review</x:v>
      </x:c>
      <x:c r="AI79" s="22" t="str">
        <x:v>test</x:v>
      </x:c>
      <x:c r="AJ79" s="22" t="str">
        <x:v>Yes</x:v>
      </x:c>
      <x:c r="AK79" s="22" t="str">
        <x:v>Pending</x:v>
      </x:c>
    </x:row>
    <x:row r="80">
      <x:c r="A80" t="str">
        <x:v>CASE-0535</x:v>
      </x:c>
      <x:c r="B80" s="22" t="str">
        <x:v>71-year-old female with hypercalcaemia. Adjusted calcium is 3.33 mmol/L; baseline is 2.8 mmol/L. Context: General adult presentation. Symptoms: constipation. IV fluids: No; CKD stage: None; heart failure: No; AKI: No; dialysis: No; eGFR: 115.4 mL/min/1.73m².</x:v>
      </x:c>
      <x:c r="C80" t="n">
        <x:v>71</x:v>
      </x:c>
      <x:c r="D80" t="str">
        <x:v>Female</x:v>
      </x:c>
      <x:c r="E80" t="str">
        <x:v>Not applicable</x:v>
      </x:c>
      <x:c r="F80" t="str">
        <x:v>Adjusted calcium</x:v>
      </x:c>
      <x:c r="G80" t="str">
        <x:v>Hypercalcaemia</x:v>
      </x:c>
      <x:c r="H80" t="n">
        <x:v>3.33</x:v>
      </x:c>
      <x:c r="I80" t="str">
        <x:v>mmol/L</x:v>
      </x:c>
      <x:c r="J80" s="22" t="str">
        <x:v>General adult presentation</x:v>
      </x:c>
      <x:c r="K80" s="22" t="str">
        <x:v>No</x:v>
      </x:c>
      <x:c r="L80" s="22" t="str">
        <x:v>No</x:v>
      </x:c>
      <x:c r="M80" s="22" t="n">
        <x:v>2.8</x:v>
      </x:c>
      <x:c r="N80" s="22" t="str">
        <x:v>None</x:v>
      </x:c>
      <x:c r="O80" s="22" t="str">
        <x:v>No</x:v>
      </x:c>
      <x:c r="P80" s="22" t="str">
        <x:v>No</x:v>
      </x:c>
      <x:c r="Q80" s="22" t="str">
        <x:v>Not applicable</x:v>
      </x:c>
      <x:c r="R80" s="22" t="str">
        <x:v>Not applicable</x:v>
      </x:c>
      <x:c r="S80" s="22" t="str">
        <x:v>No</x:v>
      </x:c>
      <x:c r="T80" s="22" t="str">
        <x:v>No</x:v>
      </x:c>
      <x:c r="U80" s="22" t="str">
        <x:v>No</x:v>
      </x:c>
      <x:c r="V80" s="22" t="str">
        <x:v>constipation</x:v>
      </x:c>
      <x:c r="W80" s="22" t="str">
        <x:v>No</x:v>
      </x:c>
      <x:c r="X80" s="22" t="str">
        <x:v>Hypovolaemic</x:v>
      </x:c>
      <x:c r="Y80" s="22" t="n">
        <x:v>115.4</x:v>
      </x:c>
      <x:c r="Z80" s="22" t="str">
        <x:v>NICE-UNSUPPORTED-001</x:v>
      </x:c>
      <x:c r="AA80" s="22" t="str">
        <x:v>No definitive NICE-only management</x:v>
      </x:c>
      <x:c r="AB80" s="22" t="str">
        <x:v>Clinical review required</x:v>
      </x:c>
      <x:c r="AC80" s="22" t="str">
        <x:v>No definitive NICE-only management output</x:v>
      </x:c>
      <x:c r="AD80" s="22" t="str">
        <x:v>Do not generate treatment instructions. Display that an approved local protocol or specialist review is required.</x:v>
      </x:c>
      <x:c r="AE80" s="22" t="str">
        <x:v>This is a safety rule, not a treatment recommendation.</x:v>
      </x:c>
      <x:c r="AF80" s="22" t="str"/>
      <x:c r="AG80" s="22" t="str"/>
      <x:c r="AH80" s="22" t="str">
        <x:v>Hypercalcaemia adult General adult presentation guideline systematic review clinical review</x:v>
      </x:c>
      <x:c r="AI80" s="22" t="str">
        <x:v>test</x:v>
      </x:c>
      <x:c r="AJ80" s="22" t="str">
        <x:v>Yes</x:v>
      </x:c>
      <x:c r="AK80" s="22" t="str">
        <x:v>Pending</x:v>
      </x:c>
    </x:row>
    <x:row r="81">
      <x:c r="A81" t="str">
        <x:v>CASE-0048</x:v>
      </x:c>
      <x:c r="B81" s="22" t="str">
        <x:v>18-year-old female with hyponatraemia. Sodium is 118.9 mmol/L; baseline is 142.7 mmol/L. Context: IV-fluid-related. Symptoms: headache. IV fluids: Yes; CKD stage: None; heart failure: No; AKI: No; dialysis: No; eGFR: 24.1 mL/min/1.73m².</x:v>
      </x:c>
      <x:c r="C81" t="n">
        <x:v>18</x:v>
      </x:c>
      <x:c r="D81" t="str">
        <x:v>Female</x:v>
      </x:c>
      <x:c r="E81" t="str">
        <x:v>Not pregnant</x:v>
      </x:c>
      <x:c r="F81" t="str">
        <x:v>Sodium</x:v>
      </x:c>
      <x:c r="G81" t="str">
        <x:v>Hyponatraemia</x:v>
      </x:c>
      <x:c r="H81" t="n">
        <x:v>118.9</x:v>
      </x:c>
      <x:c r="I81" t="str">
        <x:v>mmol/L</x:v>
      </x:c>
      <x:c r="J81" s="22" t="str">
        <x:v>IV-fluid-related</x:v>
      </x:c>
      <x:c r="K81" s="22" t="str">
        <x:v>Yes</x:v>
      </x:c>
      <x:c r="L81" s="22" t="str">
        <x:v>No</x:v>
      </x:c>
      <x:c r="M81" s="22" t="n">
        <x:v>142.7</x:v>
      </x:c>
      <x:c r="N81" s="22" t="str">
        <x:v>None</x:v>
      </x:c>
      <x:c r="O81" s="22" t="str">
        <x:v>No</x:v>
      </x:c>
      <x:c r="P81" s="22" t="str">
        <x:v>No</x:v>
      </x:c>
      <x:c r="Q81" s="22" t="str">
        <x:v>Not applicable</x:v>
      </x:c>
      <x:c r="R81" s="22" t="str">
        <x:v>Not applicable</x:v>
      </x:c>
      <x:c r="S81" s="22" t="str">
        <x:v>No</x:v>
      </x:c>
      <x:c r="T81" s="22" t="str">
        <x:v>No</x:v>
      </x:c>
      <x:c r="U81" s="22" t="str">
        <x:v>No</x:v>
      </x:c>
      <x:c r="V81" s="22" t="str">
        <x:v>headache</x:v>
      </x:c>
      <x:c r="W81" s="22" t="str">
        <x:v>No</x:v>
      </x:c>
      <x:c r="X81" s="22" t="str">
        <x:v>Euvolaemic</x:v>
      </x:c>
      <x:c r="Y81" s="22" t="n">
        <x:v>24.1</x:v>
      </x:c>
      <x:c r="Z81" s="22" t="str">
        <x:v>NICE-NA-HYPO-IV-001</x:v>
      </x:c>
      <x:c r="AA81" s="22" t="str">
        <x:v>NICE detection / reassessment / escalation</x:v>
      </x:c>
      <x:c r="AB81" s="22" t="str">
        <x:v>Urgent review</x:v>
      </x:c>
      <x:c r="AC81" s="22" t="str">
        <x:v>NICE detection, reassessment and escalation</x:v>
      </x:c>
      <x:c r="AD81" s="22" t="str">
        <x:v>Treat as possible IV-fluid mismanagement: reassess the fluid prescription and monitoring plan, and seek expert help for a complex imbalance.</x:v>
      </x:c>
      <x:c r="AE81" s="22" t="str">
        <x:v>No definitive sodium-correction regimen is provided by CG174.</x:v>
      </x:c>
      <x:c r="AF81" s="22" t="str">
        <x:v>NICE-CG174</x:v>
      </x:c>
      <x:c r="AG81" s="22" t="str">
        <x:v>1.2.4, 1.5.1, 1.5.2, Table 1</x:v>
      </x:c>
      <x:c r="AH81" s="22" t="str">
        <x:v>Hyponatraemia adult IV-fluid-related guideline systematic review clinical review</x:v>
      </x:c>
      <x:c r="AI81" s="22" t="str">
        <x:v>train</x:v>
      </x:c>
      <x:c r="AJ81" s="22" t="str">
        <x:v>Yes</x:v>
      </x:c>
      <x:c r="AK81" s="22" t="str">
        <x:v>Pending</x:v>
      </x:c>
    </x:row>
    <x:row r="82">
      <x:c r="A82" t="str">
        <x:v>CASE-0072</x:v>
      </x:c>
      <x:c r="B82" s="22" t="str">
        <x:v>65-year-old female with hyponatraemia. Sodium is 134.7 mmol/L; baseline is 128.8 mmol/L. Context: Primary adrenal insufficiency. Symptoms: lethargy, seizure. IV fluids: No; CKD stage: None; heart failure: No; AKI: No; dialysis: No; eGFR: 92.3 mL/min/1.73m².</x:v>
      </x:c>
      <x:c r="C82" t="n">
        <x:v>65</x:v>
      </x:c>
      <x:c r="D82" t="str">
        <x:v>Female</x:v>
      </x:c>
      <x:c r="E82" t="str">
        <x:v>Not applicable</x:v>
      </x:c>
      <x:c r="F82" t="str">
        <x:v>Sodium</x:v>
      </x:c>
      <x:c r="G82" t="str">
        <x:v>Hyponatraemia</x:v>
      </x:c>
      <x:c r="H82" t="n">
        <x:v>134.7</x:v>
      </x:c>
      <x:c r="I82" t="str">
        <x:v>mmol/L</x:v>
      </x:c>
      <x:c r="J82" s="22" t="str">
        <x:v>Primary adrenal insufficiency</x:v>
      </x:c>
      <x:c r="K82" s="22" t="str">
        <x:v>No</x:v>
      </x:c>
      <x:c r="L82" s="22" t="str">
        <x:v>No</x:v>
      </x:c>
      <x:c r="M82" s="22" t="n">
        <x:v>128.8</x:v>
      </x:c>
      <x:c r="N82" s="22" t="str">
        <x:v>None</x:v>
      </x:c>
      <x:c r="O82" s="22" t="str">
        <x:v>No</x:v>
      </x:c>
      <x:c r="P82" s="22" t="str">
        <x:v>No</x:v>
      </x:c>
      <x:c r="Q82" s="22" t="str">
        <x:v>Not applicable</x:v>
      </x:c>
      <x:c r="R82" s="22" t="str">
        <x:v>Not applicable</x:v>
      </x:c>
      <x:c r="S82" s="22" t="str">
        <x:v>No</x:v>
      </x:c>
      <x:c r="T82" s="22" t="str">
        <x:v>No</x:v>
      </x:c>
      <x:c r="U82" s="22" t="str">
        <x:v>Yes</x:v>
      </x:c>
      <x:c r="V82" s="22" t="str">
        <x:v>lethargy, seizure</x:v>
      </x:c>
      <x:c r="W82" s="22" t="str">
        <x:v>No</x:v>
      </x:c>
      <x:c r="X82" s="22" t="str">
        <x:v>Uncertain</x:v>
      </x:c>
      <x:c r="Y82" s="22" t="n">
        <x:v>92.3</x:v>
      </x:c>
      <x:c r="Z82" s="22" t="str">
        <x:v>NICE-NA-ADRENAL-001</x:v>
      </x:c>
      <x:c r="AA82" s="22" t="str">
        <x:v>Specific context-based NICE guidance</x:v>
      </x:c>
      <x:c r="AB82" s="22" t="str">
        <x:v>Specialist endocrinology review</x:v>
      </x:c>
      <x:c r="AC82" s="22" t="str">
        <x:v>Specific context-based NICE guidance</x:v>
      </x:c>
      <x:c r="AD82" s="22" t="str">
        <x:v>Consider sodium chloride supplementation according to specialist endocrinology advice.</x:v>
      </x:c>
      <x:c r="AE82" s="22" t="str">
        <x:v>Applies only to primary adrenal insufficiency.</x:v>
      </x:c>
      <x:c r="AF82" s="22" t="str">
        <x:v>NICE-NG243</x:v>
      </x:c>
      <x:c r="AG82" s="22" t="str">
        <x:v>1.3.5</x:v>
      </x:c>
      <x:c r="AH82" s="22" t="str">
        <x:v>Hyponatraemia adult Primary adrenal insufficiency guideline systematic review clinical review</x:v>
      </x:c>
      <x:c r="AI82" s="22" t="str">
        <x:v>train</x:v>
      </x:c>
      <x:c r="AJ82" s="22" t="str">
        <x:v>Yes</x:v>
      </x:c>
      <x:c r="AK82" s="22" t="str">
        <x:v>Pending</x:v>
      </x:c>
    </x:row>
    <x:row r="83">
      <x:c r="A83" t="str">
        <x:v>CASE-0808</x:v>
      </x:c>
      <x:c r="B83" s="22" t="str">
        <x:v>70-year-old female with no detected sodium abnormality. Sodium is 143.0 mmol/L. General adult presentation.</x:v>
      </x:c>
      <x:c r="C83" t="n">
        <x:v>70</x:v>
      </x:c>
      <x:c r="D83" t="str">
        <x:v>Female</x:v>
      </x:c>
      <x:c r="E83" t="str">
        <x:v>Not applicable</x:v>
      </x:c>
      <x:c r="F83" t="str">
        <x:v>Sodium</x:v>
      </x:c>
      <x:c r="G83" t="str">
        <x:v>No abnormality detected</x:v>
      </x:c>
      <x:c r="H83" t="n">
        <x:v>143</x:v>
      </x:c>
      <x:c r="I83" t="str">
        <x:v>mmol/L</x:v>
      </x:c>
      <x:c r="J83" s="22" t="str">
        <x:v>General adult presentation</x:v>
      </x:c>
      <x:c r="K83" s="22" t="str">
        <x:v>No</x:v>
      </x:c>
      <x:c r="L83" s="22" t="str">
        <x:v>No</x:v>
      </x:c>
      <x:c r="M83" s="22" t="n">
        <x:v>143</x:v>
      </x:c>
      <x:c r="N83" s="22" t="str">
        <x:v>None</x:v>
      </x:c>
      <x:c r="O83" s="22" t="str">
        <x:v>No</x:v>
      </x:c>
      <x:c r="P83" s="22" t="str">
        <x:v>No</x:v>
      </x:c>
      <x:c r="Q83" s="22" t="str">
        <x:v>Not applicable</x:v>
      </x:c>
      <x:c r="R83" s="22" t="str">
        <x:v>Not applicable</x:v>
      </x:c>
      <x:c r="S83" s="22" t="str">
        <x:v>No</x:v>
      </x:c>
      <x:c r="T83" s="22" t="str">
        <x:v>No</x:v>
      </x:c>
      <x:c r="U83" s="22" t="str">
        <x:v>No</x:v>
      </x:c>
      <x:c r="V83" s="22" t="str">
        <x:v>None reported</x:v>
      </x:c>
      <x:c r="W83" s="22" t="str">
        <x:v>No</x:v>
      </x:c>
      <x:c r="X83" s="22" t="str">
        <x:v>Euvolaemic</x:v>
      </x:c>
      <x:c r="Y83" s="22" t="n">
        <x:v>107.9</x:v>
      </x:c>
      <x:c r="Z83" s="22" t="str">
        <x:v>NICE-GLOBAL-ASSESS-001</x:v>
      </x:c>
      <x:c r="AA83" s="22" t="str">
        <x:v>General NICE assessment only</x:v>
      </x:c>
      <x:c r="AB83" s="22" t="str">
        <x:v>Routine review</x:v>
      </x:c>
      <x:c r="AC83" s="22" t="str">
        <x:v>No abnormality-specific management</x:v>
      </x:c>
      <x:c r="AD83" s="22" t="str">
        <x:v>No electrolyte abnormality is detected by the synthetic reference range; interpret the result with the full clinical picture.</x:v>
      </x:c>
      <x:c r="AE83" s="22" t="str">
        <x:v>Synthetic reference ranges are not NICE management thresholds.</x:v>
      </x:c>
      <x:c r="AF83" s="22" t="str">
        <x:v>NICE-CG174</x:v>
      </x:c>
      <x:c r="AG83" s="22" t="str">
        <x:v>1.1.1 and 1.2.2</x:v>
      </x:c>
      <x:c r="AH83" s="22" t="str">
        <x:v>Sodium reference interval adult laboratory interpretation</x:v>
      </x:c>
      <x:c r="AI83" s="22" t="str">
        <x:v>train</x:v>
      </x:c>
      <x:c r="AJ83" s="22" t="str">
        <x:v>Yes</x:v>
      </x:c>
      <x:c r="AK83" s="22" t="str">
        <x:v>Pending</x:v>
      </x:c>
    </x:row>
    <x:row r="84">
      <x:c r="A84" t="str">
        <x:v>CASE-0837</x:v>
      </x:c>
      <x:c r="B84" s="22" t="str">
        <x:v>76-year-old female with no detected sodium abnormality. Sodium is 144.8 mmol/L. General adult presentation.</x:v>
      </x:c>
      <x:c r="C84" t="n">
        <x:v>76</x:v>
      </x:c>
      <x:c r="D84" t="str">
        <x:v>Female</x:v>
      </x:c>
      <x:c r="E84" t="str">
        <x:v>Not applicable</x:v>
      </x:c>
      <x:c r="F84" t="str">
        <x:v>Sodium</x:v>
      </x:c>
      <x:c r="G84" t="str">
        <x:v>No abnormality detected</x:v>
      </x:c>
      <x:c r="H84" t="n">
        <x:v>144.8</x:v>
      </x:c>
      <x:c r="I84" t="str">
        <x:v>mmol/L</x:v>
      </x:c>
      <x:c r="J84" s="22" t="str">
        <x:v>General adult presentation</x:v>
      </x:c>
      <x:c r="K84" s="22" t="str">
        <x:v>No</x:v>
      </x:c>
      <x:c r="L84" s="22" t="str">
        <x:v>No</x:v>
      </x:c>
      <x:c r="M84" s="22" t="n">
        <x:v>144.8</x:v>
      </x:c>
      <x:c r="N84" s="22" t="str">
        <x:v>None</x:v>
      </x:c>
      <x:c r="O84" s="22" t="str">
        <x:v>No</x:v>
      </x:c>
      <x:c r="P84" s="22" t="str">
        <x:v>No</x:v>
      </x:c>
      <x:c r="Q84" s="22" t="str">
        <x:v>Not applicable</x:v>
      </x:c>
      <x:c r="R84" s="22" t="str">
        <x:v>Not applicable</x:v>
      </x:c>
      <x:c r="S84" s="22" t="str">
        <x:v>No</x:v>
      </x:c>
      <x:c r="T84" s="22" t="str">
        <x:v>No</x:v>
      </x:c>
      <x:c r="U84" s="22" t="str">
        <x:v>No</x:v>
      </x:c>
      <x:c r="V84" s="22" t="str">
        <x:v>None reported</x:v>
      </x:c>
      <x:c r="W84" s="22" t="str">
        <x:v>No</x:v>
      </x:c>
      <x:c r="X84" s="22" t="str">
        <x:v>Euvolaemic</x:v>
      </x:c>
      <x:c r="Y84" s="22" t="n">
        <x:v>103.5</x:v>
      </x:c>
      <x:c r="Z84" s="22" t="str">
        <x:v>NICE-GLOBAL-ASSESS-001</x:v>
      </x:c>
      <x:c r="AA84" s="22" t="str">
        <x:v>General NICE assessment only</x:v>
      </x:c>
      <x:c r="AB84" s="22" t="str">
        <x:v>Routine review</x:v>
      </x:c>
      <x:c r="AC84" s="22" t="str">
        <x:v>No abnormality-specific management</x:v>
      </x:c>
      <x:c r="AD84" s="22" t="str">
        <x:v>No electrolyte abnormality is detected by the synthetic reference range; interpret the result with the full clinical picture.</x:v>
      </x:c>
      <x:c r="AE84" s="22" t="str">
        <x:v>Synthetic reference ranges are not NICE management thresholds.</x:v>
      </x:c>
      <x:c r="AF84" s="22" t="str">
        <x:v>NICE-CG174</x:v>
      </x:c>
      <x:c r="AG84" s="22" t="str">
        <x:v>1.1.1 and 1.2.2</x:v>
      </x:c>
      <x:c r="AH84" s="22" t="str">
        <x:v>Sodium reference interval adult laboratory interpretation</x:v>
      </x:c>
      <x:c r="AI84" s="22" t="str">
        <x:v>train</x:v>
      </x:c>
      <x:c r="AJ84" s="22" t="str">
        <x:v>Yes</x:v>
      </x:c>
      <x:c r="AK84" s="22" t="str">
        <x:v>Pending</x:v>
      </x:c>
    </x:row>
    <x:row r="85">
      <x:c r="A85" t="str">
        <x:v>CASE-0324</x:v>
      </x:c>
      <x:c r="B85" s="22" t="str">
        <x:v>83-year-old male with hyperkalaemia. Potassium is 6.25 mmol/L; baseline is 5.81 mmol/L. Context: AKI not responding to treatment. Symptoms: None reported. IV fluids: No; CKD stage: None; heart failure: No; AKI: Yes; dialysis: No; eGFR: 21.6 mL/min/1.73m².</x:v>
      </x:c>
      <x:c r="C85" t="n">
        <x:v>83</x:v>
      </x:c>
      <x:c r="D85" t="str">
        <x:v>Male</x:v>
      </x:c>
      <x:c r="E85" t="str">
        <x:v>Not applicable</x:v>
      </x:c>
      <x:c r="F85" t="str">
        <x:v>Potassium</x:v>
      </x:c>
      <x:c r="G85" t="str">
        <x:v>Hyperkalaemia</x:v>
      </x:c>
      <x:c r="H85" t="n">
        <x:v>6.25</x:v>
      </x:c>
      <x:c r="I85" t="str">
        <x:v>mmol/L</x:v>
      </x:c>
      <x:c r="J85" s="22" t="str">
        <x:v>AKI not responding to treatment</x:v>
      </x:c>
      <x:c r="K85" s="22" t="str">
        <x:v>No</x:v>
      </x:c>
      <x:c r="L85" s="22" t="str">
        <x:v>No</x:v>
      </x:c>
      <x:c r="M85" s="22" t="n">
        <x:v>5.81</x:v>
      </x:c>
      <x:c r="N85" s="22" t="str">
        <x:v>None</x:v>
      </x:c>
      <x:c r="O85" s="22" t="str">
        <x:v>No</x:v>
      </x:c>
      <x:c r="P85" s="22" t="str">
        <x:v>Yes</x:v>
      </x:c>
      <x:c r="Q85" s="22" t="str">
        <x:v>Not applicable</x:v>
      </x:c>
      <x:c r="R85" s="22" t="str">
        <x:v>Not applicable</x:v>
      </x:c>
      <x:c r="S85" s="22" t="str">
        <x:v>No</x:v>
      </x:c>
      <x:c r="T85" s="22" t="str">
        <x:v>No</x:v>
      </x:c>
      <x:c r="U85" s="22" t="str">
        <x:v>No</x:v>
      </x:c>
      <x:c r="V85" s="22" t="str">
        <x:v>None reported</x:v>
      </x:c>
      <x:c r="W85" s="22" t="str">
        <x:v>No</x:v>
      </x:c>
      <x:c r="X85" s="22" t="str">
        <x:v>Euvolaemic</x:v>
      </x:c>
      <x:c r="Y85" s="22" t="n">
        <x:v>21.6</x:v>
      </x:c>
      <x:c r="Z85" s="22" t="str">
        <x:v>NICE-K-AKI-RRT-001</x:v>
      </x:c>
      <x:c r="AA85" s="22" t="str">
        <x:v>Specific context-based NICE guidance</x:v>
      </x:c>
      <x:c r="AB85" s="22" t="str">
        <x:v>Emergency specialist referral</x:v>
      </x:c>
      <x:c r="AC85" s="22" t="str">
        <x:v>Specific NICE escalation guidance</x:v>
      </x:c>
      <x:c r="AD85" s="22" t="str">
        <x:v>Refer immediately to nephrology and/or critical care for consideration of renal replacement therapy.</x:v>
      </x:c>
      <x:c r="AE85" s="22" t="str">
        <x:v>The decision must be based on the whole clinical condition, not an isolated potassium value.</x:v>
      </x:c>
      <x:c r="AF85" s="22" t="str">
        <x:v>NICE-NG148</x:v>
      </x:c>
      <x:c r="AG85" s="22" t="str">
        <x:v>1.5.8 to 1.5.11</x:v>
      </x:c>
      <x:c r="AH85" s="22" t="str">
        <x:v>Hyperkalaemia adult AKI not responding to treatment guideline systematic review clinical review</x:v>
      </x:c>
      <x:c r="AI85" s="22" t="str">
        <x:v>train</x:v>
      </x:c>
      <x:c r="AJ85" s="22" t="str">
        <x:v>Yes</x:v>
      </x:c>
      <x:c r="AK85" s="22" t="str">
        <x:v>Pending</x:v>
      </x:c>
    </x:row>
    <x:row r="86">
      <x:c r="A86" t="str">
        <x:v>CASE-0602</x:v>
      </x:c>
      <x:c r="B86" s="22" t="str">
        <x:v>67-year-old male with hypomagnesaemia. Magnesium is 0.59 mmol/L; baseline is 0.52 mmol/L. Context: General adult presentation. Symptoms: palpitations, weakness. IV fluids: No; CKD stage: None; heart failure: No; AKI: No; dialysis: No; eGFR: 118.6 mL/min/1.73m².</x:v>
      </x:c>
      <x:c r="C86" t="n">
        <x:v>67</x:v>
      </x:c>
      <x:c r="D86" t="str">
        <x:v>Male</x:v>
      </x:c>
      <x:c r="E86" t="str">
        <x:v>Not applicable</x:v>
      </x:c>
      <x:c r="F86" t="str">
        <x:v>Magnesium</x:v>
      </x:c>
      <x:c r="G86" t="str">
        <x:v>Hypomagnesaemia</x:v>
      </x:c>
      <x:c r="H86" t="n">
        <x:v>0.59</x:v>
      </x:c>
      <x:c r="I86" t="str">
        <x:v>mmol/L</x:v>
      </x:c>
      <x:c r="J86" s="22" t="str">
        <x:v>General adult presentation</x:v>
      </x:c>
      <x:c r="K86" s="22" t="str">
        <x:v>No</x:v>
      </x:c>
      <x:c r="L86" s="22" t="str">
        <x:v>No</x:v>
      </x:c>
      <x:c r="M86" s="22" t="n">
        <x:v>0.52</x:v>
      </x:c>
      <x:c r="N86" s="22" t="str">
        <x:v>None</x:v>
      </x:c>
      <x:c r="O86" s="22" t="str">
        <x:v>No</x:v>
      </x:c>
      <x:c r="P86" s="22" t="str">
        <x:v>No</x:v>
      </x:c>
      <x:c r="Q86" s="22" t="str">
        <x:v>Not applicable</x:v>
      </x:c>
      <x:c r="R86" s="22" t="str">
        <x:v>Not applicable</x:v>
      </x:c>
      <x:c r="S86" s="22" t="str">
        <x:v>No</x:v>
      </x:c>
      <x:c r="T86" s="22" t="str">
        <x:v>No</x:v>
      </x:c>
      <x:c r="U86" s="22" t="str">
        <x:v>No</x:v>
      </x:c>
      <x:c r="V86" s="22" t="str">
        <x:v>palpitations, weakness</x:v>
      </x:c>
      <x:c r="W86" s="22" t="str">
        <x:v>No</x:v>
      </x:c>
      <x:c r="X86" s="22" t="str">
        <x:v>Euvolaemic</x:v>
      </x:c>
      <x:c r="Y86" s="22" t="n">
        <x:v>118.6</x:v>
      </x:c>
      <x:c r="Z86" s="22" t="str">
        <x:v>NICE-UNSUPPORTED-001</x:v>
      </x:c>
      <x:c r="AA86" s="22" t="str">
        <x:v>No definitive NICE-only management</x:v>
      </x:c>
      <x:c r="AB86" s="22" t="str">
        <x:v>Clinical review required</x:v>
      </x:c>
      <x:c r="AC86" s="22" t="str">
        <x:v>No definitive NICE-only management output</x:v>
      </x:c>
      <x:c r="AD86" s="22" t="str">
        <x:v>Do not generate treatment instructions. Display that an approved local protocol or specialist review is required.</x:v>
      </x:c>
      <x:c r="AE86" s="22" t="str">
        <x:v>This is a safety rule, not a treatment recommendation.</x:v>
      </x:c>
      <x:c r="AF86" s="22" t="str"/>
      <x:c r="AG86" s="22" t="str"/>
      <x:c r="AH86" s="22" t="str">
        <x:v>Hypomagnesaemia adult General adult presentation guideline systematic review clinical review</x:v>
      </x:c>
      <x:c r="AI86" s="22" t="str">
        <x:v>train</x:v>
      </x:c>
      <x:c r="AJ86" s="22" t="str">
        <x:v>Yes</x:v>
      </x:c>
      <x:c r="AK86" s="22" t="str">
        <x:v>Pending</x:v>
      </x:c>
    </x:row>
    <x:row r="87">
      <x:c r="A87" t="str">
        <x:v>CASE-0123</x:v>
      </x:c>
      <x:c r="B87" s="22" t="str">
        <x:v>61-year-old male with hypernatraemia. Sodium is 165.6 mmol/L; baseline is 141.5 mmol/L. Context: IV-fluid-related. Symptoms: None reported. IV fluids: Yes; CKD stage: None; heart failure: No; AKI: No; dialysis: No; eGFR: 43.5 mL/min/1.73m².</x:v>
      </x:c>
      <x:c r="C87" t="n">
        <x:v>61</x:v>
      </x:c>
      <x:c r="D87" t="str">
        <x:v>Male</x:v>
      </x:c>
      <x:c r="E87" t="str">
        <x:v>Not applicable</x:v>
      </x:c>
      <x:c r="F87" t="str">
        <x:v>Sodium</x:v>
      </x:c>
      <x:c r="G87" t="str">
        <x:v>Hypernatraemia</x:v>
      </x:c>
      <x:c r="H87" t="n">
        <x:v>165.6</x:v>
      </x:c>
      <x:c r="I87" t="str">
        <x:v>mmol/L</x:v>
      </x:c>
      <x:c r="J87" s="22" t="str">
        <x:v>IV-fluid-related</x:v>
      </x:c>
      <x:c r="K87" s="22" t="str">
        <x:v>Yes</x:v>
      </x:c>
      <x:c r="L87" s="22" t="str">
        <x:v>No</x:v>
      </x:c>
      <x:c r="M87" s="22" t="n">
        <x:v>141.5</x:v>
      </x:c>
      <x:c r="N87" s="22" t="str">
        <x:v>None</x:v>
      </x:c>
      <x:c r="O87" s="22" t="str">
        <x:v>No</x:v>
      </x:c>
      <x:c r="P87" s="22" t="str">
        <x:v>No</x:v>
      </x:c>
      <x:c r="Q87" s="22" t="str">
        <x:v>Not applicable</x:v>
      </x:c>
      <x:c r="R87" s="22" t="str">
        <x:v>Not applicable</x:v>
      </x:c>
      <x:c r="S87" s="22" t="str">
        <x:v>No</x:v>
      </x:c>
      <x:c r="T87" s="22" t="str">
        <x:v>No</x:v>
      </x:c>
      <x:c r="U87" s="22" t="str">
        <x:v>No</x:v>
      </x:c>
      <x:c r="V87" s="22" t="str">
        <x:v>None reported</x:v>
      </x:c>
      <x:c r="W87" s="22" t="str">
        <x:v>No</x:v>
      </x:c>
      <x:c r="X87" s="22" t="str">
        <x:v>Hypervolaemic</x:v>
      </x:c>
      <x:c r="Y87" s="22" t="n">
        <x:v>43.5</x:v>
      </x:c>
      <x:c r="Z87" s="22" t="str">
        <x:v>NICE-UNSUPPORTED-001</x:v>
      </x:c>
      <x:c r="AA87" s="22" t="str">
        <x:v>No definitive NICE-only management</x:v>
      </x:c>
      <x:c r="AB87" s="22" t="str">
        <x:v>Clinical review required</x:v>
      </x:c>
      <x:c r="AC87" s="22" t="str">
        <x:v>No definitive NICE-only management output</x:v>
      </x:c>
      <x:c r="AD87" s="22" t="str">
        <x:v>Do not generate treatment instructions. Display that an approved local protocol or specialist review is required.</x:v>
      </x:c>
      <x:c r="AE87" s="22" t="str">
        <x:v>This is a safety rule, not a treatment recommendation.</x:v>
      </x:c>
      <x:c r="AF87" s="22" t="str"/>
      <x:c r="AG87" s="22" t="str"/>
      <x:c r="AH87" s="22" t="str">
        <x:v>Hypernatraemia adult IV-fluid-related guideline systematic review clinical review</x:v>
      </x:c>
      <x:c r="AI87" s="22" t="str">
        <x:v>train</x:v>
      </x:c>
      <x:c r="AJ87" s="22" t="str">
        <x:v>Yes</x:v>
      </x:c>
      <x:c r="AK87" s="22" t="str">
        <x:v>Pending</x:v>
      </x:c>
    </x:row>
    <x:row r="88">
      <x:c r="A88" t="str">
        <x:v>CASE-0120</x:v>
      </x:c>
      <x:c r="B88" s="22" t="str">
        <x:v>28-year-old female with hypernatraemia. Sodium is 163.3 mmol/L; baseline is 142.3 mmol/L. Context: IV-fluid-related. Symptoms: None reported. IV fluids: Yes; CKD stage: None; heart failure: No; AKI: No; dialysis: No; eGFR: 52.5 mL/min/1.73m².</x:v>
      </x:c>
      <x:c r="C88" t="n">
        <x:v>28</x:v>
      </x:c>
      <x:c r="D88" t="str">
        <x:v>Female</x:v>
      </x:c>
      <x:c r="E88" t="str">
        <x:v>Not pregnant</x:v>
      </x:c>
      <x:c r="F88" t="str">
        <x:v>Sodium</x:v>
      </x:c>
      <x:c r="G88" t="str">
        <x:v>Hypernatraemia</x:v>
      </x:c>
      <x:c r="H88" t="n">
        <x:v>163.3</x:v>
      </x:c>
      <x:c r="I88" t="str">
        <x:v>mmol/L</x:v>
      </x:c>
      <x:c r="J88" s="22" t="str">
        <x:v>IV-fluid-related</x:v>
      </x:c>
      <x:c r="K88" s="22" t="str">
        <x:v>Yes</x:v>
      </x:c>
      <x:c r="L88" s="22" t="str">
        <x:v>Yes</x:v>
      </x:c>
      <x:c r="M88" s="22" t="n">
        <x:v>142.3</x:v>
      </x:c>
      <x:c r="N88" s="22" t="str">
        <x:v>None</x:v>
      </x:c>
      <x:c r="O88" s="22" t="str">
        <x:v>No</x:v>
      </x:c>
      <x:c r="P88" s="22" t="str">
        <x:v>No</x:v>
      </x:c>
      <x:c r="Q88" s="22" t="str">
        <x:v>Not applicable</x:v>
      </x:c>
      <x:c r="R88" s="22" t="str">
        <x:v>Not applicable</x:v>
      </x:c>
      <x:c r="S88" s="22" t="str">
        <x:v>No</x:v>
      </x:c>
      <x:c r="T88" s="22" t="str">
        <x:v>No</x:v>
      </x:c>
      <x:c r="U88" s="22" t="str">
        <x:v>No</x:v>
      </x:c>
      <x:c r="V88" s="22" t="str">
        <x:v>None reported</x:v>
      </x:c>
      <x:c r="W88" s="22" t="str">
        <x:v>No</x:v>
      </x:c>
      <x:c r="X88" s="22" t="str">
        <x:v>Hypervolaemic</x:v>
      </x:c>
      <x:c r="Y88" s="22" t="n">
        <x:v>52.5</x:v>
      </x:c>
      <x:c r="Z88" s="22" t="str">
        <x:v>NICE-NA-HYPER-IV-001</x:v>
      </x:c>
      <x:c r="AA88" s="22" t="str">
        <x:v>NICE detection / reassessment / escalation</x:v>
      </x:c>
      <x:c r="AB88" s="22" t="str">
        <x:v>Urgent review</x:v>
      </x:c>
      <x:c r="AC88" s="22" t="str">
        <x:v>NICE detection, reassessment and escalation</x:v>
      </x:c>
      <x:c r="AD88" s="22" t="str">
        <x:v>Treat as possible IV-fluid mismanagement: reassess the fluid prescription and monitoring plan, and seek expert help for the imbalance.</x:v>
      </x:c>
      <x:c r="AE88" s="22" t="str">
        <x:v>No definitive sodium-correction regimen is provided by CG174.</x:v>
      </x:c>
      <x:c r="AF88" s="22" t="str">
        <x:v>NICE-CG174</x:v>
      </x:c>
      <x:c r="AG88" s="22" t="str">
        <x:v>1.2.4, 1.5.1, 1.5.2, Table 1</x:v>
      </x:c>
      <x:c r="AH88" s="22" t="str">
        <x:v>Hypernatraemia adult IV-fluid-related guideline systematic review clinical review</x:v>
      </x:c>
      <x:c r="AI88" s="22" t="str">
        <x:v>train</x:v>
      </x:c>
      <x:c r="AJ88" s="22" t="str">
        <x:v>Yes</x:v>
      </x:c>
      <x:c r="AK88" s="22" t="str">
        <x:v>Pending</x:v>
      </x:c>
    </x:row>
    <x:row r="89">
      <x:c r="A89" t="str">
        <x:v>CASE-0484</x:v>
      </x:c>
      <x:c r="B89" s="22" t="str">
        <x:v>73-year-old female with hypocalcaemia. Adjusted calcium is 1.89 mmol/L; baseline is 1.75 mmol/L. Context: General adult presentation. Symptoms: seizure, muscle cramps. IV fluids: No; CKD stage: None; heart failure: No; AKI: No; dialysis: No; eGFR: 67.3 mL/min/1.73m².</x:v>
      </x:c>
      <x:c r="C89" t="n">
        <x:v>73</x:v>
      </x:c>
      <x:c r="D89" t="str">
        <x:v>Female</x:v>
      </x:c>
      <x:c r="E89" t="str">
        <x:v>Not applicable</x:v>
      </x:c>
      <x:c r="F89" t="str">
        <x:v>Adjusted calcium</x:v>
      </x:c>
      <x:c r="G89" t="str">
        <x:v>Hypocalcaemia</x:v>
      </x:c>
      <x:c r="H89" t="n">
        <x:v>1.89</x:v>
      </x:c>
      <x:c r="I89" t="str">
        <x:v>mmol/L</x:v>
      </x:c>
      <x:c r="J89" s="22" t="str">
        <x:v>General adult presentation</x:v>
      </x:c>
      <x:c r="K89" s="22" t="str">
        <x:v>No</x:v>
      </x:c>
      <x:c r="L89" s="22" t="str">
        <x:v>No</x:v>
      </x:c>
      <x:c r="M89" s="22" t="n">
        <x:v>1.75</x:v>
      </x:c>
      <x:c r="N89" s="22" t="str">
        <x:v>None</x:v>
      </x:c>
      <x:c r="O89" s="22" t="str">
        <x:v>No</x:v>
      </x:c>
      <x:c r="P89" s="22" t="str">
        <x:v>No</x:v>
      </x:c>
      <x:c r="Q89" s="22" t="str">
        <x:v>Not applicable</x:v>
      </x:c>
      <x:c r="R89" s="22" t="str">
        <x:v>Not applicable</x:v>
      </x:c>
      <x:c r="S89" s="22" t="str">
        <x:v>No</x:v>
      </x:c>
      <x:c r="T89" s="22" t="str">
        <x:v>No</x:v>
      </x:c>
      <x:c r="U89" s="22" t="str">
        <x:v>No</x:v>
      </x:c>
      <x:c r="V89" s="22" t="str">
        <x:v>seizure, muscle cramps</x:v>
      </x:c>
      <x:c r="W89" s="22" t="str">
        <x:v>No</x:v>
      </x:c>
      <x:c r="X89" s="22" t="str">
        <x:v>Hypovolaemic</x:v>
      </x:c>
      <x:c r="Y89" s="22" t="n">
        <x:v>67.3</x:v>
      </x:c>
      <x:c r="Z89" s="22" t="str">
        <x:v>NICE-UNSUPPORTED-001</x:v>
      </x:c>
      <x:c r="AA89" s="22" t="str">
        <x:v>No definitive NICE-only management</x:v>
      </x:c>
      <x:c r="AB89" s="22" t="str">
        <x:v>Clinical review required</x:v>
      </x:c>
      <x:c r="AC89" s="22" t="str">
        <x:v>No definitive NICE-only management output</x:v>
      </x:c>
      <x:c r="AD89" s="22" t="str">
        <x:v>Do not generate treatment instructions. Display that an approved local protocol or specialist review is required.</x:v>
      </x:c>
      <x:c r="AE89" s="22" t="str">
        <x:v>This is a safety rule, not a treatment recommendation.</x:v>
      </x:c>
      <x:c r="AF89" s="22" t="str"/>
      <x:c r="AG89" s="22" t="str"/>
      <x:c r="AH89" s="22" t="str">
        <x:v>Hypocalcaemia adult General adult presentation guideline systematic review clinical review</x:v>
      </x:c>
      <x:c r="AI89" s="22" t="str">
        <x:v>train</x:v>
      </x:c>
      <x:c r="AJ89" s="22" t="str">
        <x:v>Yes</x:v>
      </x:c>
      <x:c r="AK89" s="22" t="str">
        <x:v>Pending</x:v>
      </x:c>
    </x:row>
    <x:row r="90">
      <x:c r="A90" t="str">
        <x:v>CASE-0349</x:v>
      </x:c>
      <x:c r="B90" s="22" t="str">
        <x:v>28-year-old female with hyperkalaemia. Potassium is 6.39 mmol/L; baseline is 7.08 mmol/L. Context: CKD on RAAS antagonist. Symptoms: None reported. IV fluids: No; CKD stage: 3a; heart failure: No; AKI: No; dialysis: No; eGFR: 34.1 mL/min/1.73m².</x:v>
      </x:c>
      <x:c r="C90" t="n">
        <x:v>28</x:v>
      </x:c>
      <x:c r="D90" t="str">
        <x:v>Female</x:v>
      </x:c>
      <x:c r="E90" t="str">
        <x:v>Unknown</x:v>
      </x:c>
      <x:c r="F90" t="str">
        <x:v>Potassium</x:v>
      </x:c>
      <x:c r="G90" t="str">
        <x:v>Hyperkalaemia</x:v>
      </x:c>
      <x:c r="H90" t="n">
        <x:v>6.39</x:v>
      </x:c>
      <x:c r="I90" t="str">
        <x:v>mmol/L</x:v>
      </x:c>
      <x:c r="J90" s="22" t="str">
        <x:v>CKD on RAAS antagonist</x:v>
      </x:c>
      <x:c r="K90" s="22" t="str">
        <x:v>No</x:v>
      </x:c>
      <x:c r="L90" s="22" t="str">
        <x:v>No</x:v>
      </x:c>
      <x:c r="M90" s="22" t="n">
        <x:v>7.08</x:v>
      </x:c>
      <x:c r="N90" s="22" t="str">
        <x:v>3a</x:v>
      </x:c>
      <x:c r="O90" s="22" t="str">
        <x:v>No</x:v>
      </x:c>
      <x:c r="P90" s="22" t="str">
        <x:v>No</x:v>
      </x:c>
      <x:c r="Q90" s="22" t="str">
        <x:v>Taking</x:v>
      </x:c>
      <x:c r="R90" s="22" t="str">
        <x:v>Yes</x:v>
      </x:c>
      <x:c r="S90" s="22" t="str">
        <x:v>No</x:v>
      </x:c>
      <x:c r="T90" s="22" t="str">
        <x:v>No</x:v>
      </x:c>
      <x:c r="U90" s="22" t="str">
        <x:v>No</x:v>
      </x:c>
      <x:c r="V90" s="22" t="str">
        <x:v>None reported</x:v>
      </x:c>
      <x:c r="W90" s="22" t="str">
        <x:v>No</x:v>
      </x:c>
      <x:c r="X90" s="22" t="str">
        <x:v>Uncertain</x:v>
      </x:c>
      <x:c r="Y90" s="22" t="n">
        <x:v>34.1</x:v>
      </x:c>
      <x:c r="Z90" s="22" t="str">
        <x:v>NICE-K-CKD-STOP-001</x:v>
      </x:c>
      <x:c r="AA90" s="22" t="str">
        <x:v>Specific context-based NICE guidance</x:v>
      </x:c>
      <x:c r="AB90" s="22" t="str">
        <x:v>Urgent medication review</x:v>
      </x:c>
      <x:c r="AC90" s="22" t="str">
        <x:v>Specific NICE medication guidance</x:v>
      </x:c>
      <x:c r="AD90" s="22" t="str">
        <x:v>Stop the renin–angiotensin system antagonist when the stated NICE conditions are met.</x:v>
      </x:c>
      <x:c r="AE90" s="22" t="str">
        <x:v>Must verify contributing medicines and the complete clinical context.</x:v>
      </x:c>
      <x:c r="AF90" s="22" t="str">
        <x:v>NICE-NG203</x:v>
      </x:c>
      <x:c r="AG90" s="22" t="str">
        <x:v>1.6.17 to 1.6.19</x:v>
      </x:c>
      <x:c r="AH90" s="22" t="str">
        <x:v>Hyperkalaemia adult CKD on RAAS antagonist guideline systematic review clinical review</x:v>
      </x:c>
      <x:c r="AI90" s="22" t="str">
        <x:v>train</x:v>
      </x:c>
      <x:c r="AJ90" s="22" t="str">
        <x:v>Yes</x:v>
      </x:c>
      <x:c r="AK90" s="22" t="str">
        <x:v>Pending</x:v>
      </x:c>
    </x:row>
    <x:row r="91">
      <x:c r="A91" t="str">
        <x:v>CASE-0102</x:v>
      </x:c>
      <x:c r="B91" s="22" t="str">
        <x:v>81-year-old male with hypernatraemia. Sodium is 145.3 mmol/L; baseline is 167.5 mmol/L. Context: General adult presentation. Symptoms: confusion, lethargy. IV fluids: No; CKD stage: None; heart failure: No; AKI: No; dialysis: No; eGFR: 40.9 mL/min/1.73m².</x:v>
      </x:c>
      <x:c r="C91" t="n">
        <x:v>81</x:v>
      </x:c>
      <x:c r="D91" t="str">
        <x:v>Male</x:v>
      </x:c>
      <x:c r="E91" t="str">
        <x:v>Not applicable</x:v>
      </x:c>
      <x:c r="F91" t="str">
        <x:v>Sodium</x:v>
      </x:c>
      <x:c r="G91" t="str">
        <x:v>Hypernatraemia</x:v>
      </x:c>
      <x:c r="H91" t="n">
        <x:v>145.3</x:v>
      </x:c>
      <x:c r="I91" t="str">
        <x:v>mmol/L</x:v>
      </x:c>
      <x:c r="J91" s="22" t="str">
        <x:v>General adult presentation</x:v>
      </x:c>
      <x:c r="K91" s="22" t="str">
        <x:v>No</x:v>
      </x:c>
      <x:c r="L91" s="22" t="str">
        <x:v>No</x:v>
      </x:c>
      <x:c r="M91" s="22" t="n">
        <x:v>167.5</x:v>
      </x:c>
      <x:c r="N91" s="22" t="str">
        <x:v>None</x:v>
      </x:c>
      <x:c r="O91" s="22" t="str">
        <x:v>No</x:v>
      </x:c>
      <x:c r="P91" s="22" t="str">
        <x:v>No</x:v>
      </x:c>
      <x:c r="Q91" s="22" t="str">
        <x:v>Not applicable</x:v>
      </x:c>
      <x:c r="R91" s="22" t="str">
        <x:v>Not applicable</x:v>
      </x:c>
      <x:c r="S91" s="22" t="str">
        <x:v>No</x:v>
      </x:c>
      <x:c r="T91" s="22" t="str">
        <x:v>No</x:v>
      </x:c>
      <x:c r="U91" s="22" t="str">
        <x:v>No</x:v>
      </x:c>
      <x:c r="V91" s="22" t="str">
        <x:v>confusion, lethargy</x:v>
      </x:c>
      <x:c r="W91" s="22" t="str">
        <x:v>No</x:v>
      </x:c>
      <x:c r="X91" s="22" t="str">
        <x:v>Hypervolaemic</x:v>
      </x:c>
      <x:c r="Y91" s="22" t="n">
        <x:v>40.9</x:v>
      </x:c>
      <x:c r="Z91" s="22" t="str">
        <x:v>NICE-UNSUPPORTED-001</x:v>
      </x:c>
      <x:c r="AA91" s="22" t="str">
        <x:v>No definitive NICE-only management</x:v>
      </x:c>
      <x:c r="AB91" s="22" t="str">
        <x:v>Clinical review required</x:v>
      </x:c>
      <x:c r="AC91" s="22" t="str">
        <x:v>No definitive NICE-only management output</x:v>
      </x:c>
      <x:c r="AD91" s="22" t="str">
        <x:v>Do not generate treatment instructions. Display that an approved local protocol or specialist review is required.</x:v>
      </x:c>
      <x:c r="AE91" s="22" t="str">
        <x:v>This is a safety rule, not a treatment recommendation.</x:v>
      </x:c>
      <x:c r="AF91" s="22" t="str"/>
      <x:c r="AG91" s="22" t="str"/>
      <x:c r="AH91" s="22" t="str">
        <x:v>Hypernatraemia adult General adult presentation guideline systematic review clinical review</x:v>
      </x:c>
      <x:c r="AI91" s="22" t="str">
        <x:v>train</x:v>
      </x:c>
      <x:c r="AJ91" s="22" t="str">
        <x:v>Yes</x:v>
      </x:c>
      <x:c r="AK91" s="22" t="str">
        <x:v>Pending</x:v>
      </x:c>
    </x:row>
    <x:row r="92">
      <x:c r="A92" t="str">
        <x:v>CASE-0964</x:v>
      </x:c>
      <x:c r="B92" s="22" t="str">
        <x:v>34-year-old male with no detected magnesium abnormality. Magnesium is 0.77 mmol/L. General adult presentation.</x:v>
      </x:c>
      <x:c r="C92" t="n">
        <x:v>34</x:v>
      </x:c>
      <x:c r="D92" t="str">
        <x:v>Male</x:v>
      </x:c>
      <x:c r="E92" t="str">
        <x:v>Not applicable</x:v>
      </x:c>
      <x:c r="F92" t="str">
        <x:v>Magnesium</x:v>
      </x:c>
      <x:c r="G92" t="str">
        <x:v>No abnormality detected</x:v>
      </x:c>
      <x:c r="H92" t="n">
        <x:v>0.77</x:v>
      </x:c>
      <x:c r="I92" t="str">
        <x:v>mmol/L</x:v>
      </x:c>
      <x:c r="J92" s="22" t="str">
        <x:v>General adult presentation</x:v>
      </x:c>
      <x:c r="K92" s="22" t="str">
        <x:v>No</x:v>
      </x:c>
      <x:c r="L92" s="22" t="str">
        <x:v>No</x:v>
      </x:c>
      <x:c r="M92" s="22" t="n">
        <x:v>0.77</x:v>
      </x:c>
      <x:c r="N92" s="22" t="str">
        <x:v>None</x:v>
      </x:c>
      <x:c r="O92" s="22" t="str">
        <x:v>No</x:v>
      </x:c>
      <x:c r="P92" s="22" t="str">
        <x:v>No</x:v>
      </x:c>
      <x:c r="Q92" s="22" t="str">
        <x:v>Not applicable</x:v>
      </x:c>
      <x:c r="R92" s="22" t="str">
        <x:v>Not applicable</x:v>
      </x:c>
      <x:c r="S92" s="22" t="str">
        <x:v>No</x:v>
      </x:c>
      <x:c r="T92" s="22" t="str">
        <x:v>No</x:v>
      </x:c>
      <x:c r="U92" s="22" t="str">
        <x:v>No</x:v>
      </x:c>
      <x:c r="V92" s="22" t="str">
        <x:v>None reported</x:v>
      </x:c>
      <x:c r="W92" s="22" t="str">
        <x:v>No</x:v>
      </x:c>
      <x:c r="X92" s="22" t="str">
        <x:v>Euvolaemic</x:v>
      </x:c>
      <x:c r="Y92" s="22" t="n">
        <x:v>107.6</x:v>
      </x:c>
      <x:c r="Z92" s="22" t="str">
        <x:v>NICE-GLOBAL-ASSESS-001</x:v>
      </x:c>
      <x:c r="AA92" s="22" t="str">
        <x:v>General NICE assessment only</x:v>
      </x:c>
      <x:c r="AB92" s="22" t="str">
        <x:v>Routine review</x:v>
      </x:c>
      <x:c r="AC92" s="22" t="str">
        <x:v>No abnormality-specific management</x:v>
      </x:c>
      <x:c r="AD92" s="22" t="str">
        <x:v>No electrolyte abnormality is detected by the synthetic reference range; interpret the result with the full clinical picture.</x:v>
      </x:c>
      <x:c r="AE92" s="22" t="str">
        <x:v>Synthetic reference ranges are not NICE management thresholds.</x:v>
      </x:c>
      <x:c r="AF92" s="22" t="str">
        <x:v>NICE-CG174</x:v>
      </x:c>
      <x:c r="AG92" s="22" t="str">
        <x:v>1.1.1 and 1.2.2</x:v>
      </x:c>
      <x:c r="AH92" s="22" t="str">
        <x:v>Magnesium reference interval adult laboratory interpretation</x:v>
      </x:c>
      <x:c r="AI92" s="22" t="str">
        <x:v>train</x:v>
      </x:c>
      <x:c r="AJ92" s="22" t="str">
        <x:v>Yes</x:v>
      </x:c>
      <x:c r="AK92" s="22" t="str">
        <x:v>Pending</x:v>
      </x:c>
    </x:row>
    <x:row r="93">
      <x:c r="A93" t="str">
        <x:v>CASE-0847</x:v>
      </x:c>
      <x:c r="B93" s="22" t="str">
        <x:v>62-year-old female with no detected sodium abnormality. Sodium is 144.8 mmol/L. General adult presentation.</x:v>
      </x:c>
      <x:c r="C93" t="n">
        <x:v>62</x:v>
      </x:c>
      <x:c r="D93" t="str">
        <x:v>Female</x:v>
      </x:c>
      <x:c r="E93" t="str">
        <x:v>Not applicable</x:v>
      </x:c>
      <x:c r="F93" t="str">
        <x:v>Sodium</x:v>
      </x:c>
      <x:c r="G93" t="str">
        <x:v>No abnormality detected</x:v>
      </x:c>
      <x:c r="H93" t="n">
        <x:v>144.8</x:v>
      </x:c>
      <x:c r="I93" t="str">
        <x:v>mmol/L</x:v>
      </x:c>
      <x:c r="J93" s="22" t="str">
        <x:v>General adult presentation</x:v>
      </x:c>
      <x:c r="K93" s="22" t="str">
        <x:v>No</x:v>
      </x:c>
      <x:c r="L93" s="22" t="str">
        <x:v>No</x:v>
      </x:c>
      <x:c r="M93" s="22" t="n">
        <x:v>144.8</x:v>
      </x:c>
      <x:c r="N93" s="22" t="str">
        <x:v>None</x:v>
      </x:c>
      <x:c r="O93" s="22" t="str">
        <x:v>No</x:v>
      </x:c>
      <x:c r="P93" s="22" t="str">
        <x:v>No</x:v>
      </x:c>
      <x:c r="Q93" s="22" t="str">
        <x:v>Not applicable</x:v>
      </x:c>
      <x:c r="R93" s="22" t="str">
        <x:v>Not applicable</x:v>
      </x:c>
      <x:c r="S93" s="22" t="str">
        <x:v>No</x:v>
      </x:c>
      <x:c r="T93" s="22" t="str">
        <x:v>No</x:v>
      </x:c>
      <x:c r="U93" s="22" t="str">
        <x:v>No</x:v>
      </x:c>
      <x:c r="V93" s="22" t="str">
        <x:v>None reported</x:v>
      </x:c>
      <x:c r="W93" s="22" t="str">
        <x:v>No</x:v>
      </x:c>
      <x:c r="X93" s="22" t="str">
        <x:v>Euvolaemic</x:v>
      </x:c>
      <x:c r="Y93" s="22" t="n">
        <x:v>69.8</x:v>
      </x:c>
      <x:c r="Z93" s="22" t="str">
        <x:v>NICE-GLOBAL-ASSESS-001</x:v>
      </x:c>
      <x:c r="AA93" s="22" t="str">
        <x:v>General NICE assessment only</x:v>
      </x:c>
      <x:c r="AB93" s="22" t="str">
        <x:v>Routine review</x:v>
      </x:c>
      <x:c r="AC93" s="22" t="str">
        <x:v>No abnormality-specific management</x:v>
      </x:c>
      <x:c r="AD93" s="22" t="str">
        <x:v>No electrolyte abnormality is detected by the synthetic reference range; interpret the result with the full clinical picture.</x:v>
      </x:c>
      <x:c r="AE93" s="22" t="str">
        <x:v>Synthetic reference ranges are not NICE management thresholds.</x:v>
      </x:c>
      <x:c r="AF93" s="22" t="str">
        <x:v>NICE-CG174</x:v>
      </x:c>
      <x:c r="AG93" s="22" t="str">
        <x:v>1.1.1 and 1.2.2</x:v>
      </x:c>
      <x:c r="AH93" s="22" t="str">
        <x:v>Sodium reference interval adult laboratory interpretation</x:v>
      </x:c>
      <x:c r="AI93" s="22" t="str">
        <x:v>train</x:v>
      </x:c>
      <x:c r="AJ93" s="22" t="str">
        <x:v>Yes</x:v>
      </x:c>
      <x:c r="AK93" s="22" t="str">
        <x:v>Pending</x:v>
      </x:c>
    </x:row>
    <x:row r="94">
      <x:c r="A94" t="str">
        <x:v>CASE-0704</x:v>
      </x:c>
      <x:c r="B94" s="22" t="str">
        <x:v>76-year-old female with hypermagnesaemia. Magnesium is 3.23 mmol/L; baseline is 2.69 mmol/L. Context: General adult presentation. Symptoms: None reported. IV fluids: No; CKD stage: None; heart failure: No; AKI: No; dialysis: No; eGFR: 74.2 mL/min/1.73m².</x:v>
      </x:c>
      <x:c r="C94" t="n">
        <x:v>76</x:v>
      </x:c>
      <x:c r="D94" t="str">
        <x:v>Female</x:v>
      </x:c>
      <x:c r="E94" t="str">
        <x:v>Not applicable</x:v>
      </x:c>
      <x:c r="F94" t="str">
        <x:v>Magnesium</x:v>
      </x:c>
      <x:c r="G94" t="str">
        <x:v>Hypermagnesaemia</x:v>
      </x:c>
      <x:c r="H94" t="n">
        <x:v>3.23</x:v>
      </x:c>
      <x:c r="I94" t="str">
        <x:v>mmol/L</x:v>
      </x:c>
      <x:c r="J94" s="22" t="str">
        <x:v>General adult presentation</x:v>
      </x:c>
      <x:c r="K94" s="22" t="str">
        <x:v>No</x:v>
      </x:c>
      <x:c r="L94" s="22" t="str">
        <x:v>No</x:v>
      </x:c>
      <x:c r="M94" s="22" t="n">
        <x:v>2.69</x:v>
      </x:c>
      <x:c r="N94" s="22" t="str">
        <x:v>None</x:v>
      </x:c>
      <x:c r="O94" s="22" t="str">
        <x:v>No</x:v>
      </x:c>
      <x:c r="P94" s="22" t="str">
        <x:v>No</x:v>
      </x:c>
      <x:c r="Q94" s="22" t="str">
        <x:v>Not applicable</x:v>
      </x:c>
      <x:c r="R94" s="22" t="str">
        <x:v>Not applicable</x:v>
      </x:c>
      <x:c r="S94" s="22" t="str">
        <x:v>No</x:v>
      </x:c>
      <x:c r="T94" s="22" t="str">
        <x:v>No</x:v>
      </x:c>
      <x:c r="U94" s="22" t="str">
        <x:v>No</x:v>
      </x:c>
      <x:c r="V94" s="22" t="str">
        <x:v>None reported</x:v>
      </x:c>
      <x:c r="W94" s="22" t="str">
        <x:v>No</x:v>
      </x:c>
      <x:c r="X94" s="22" t="str">
        <x:v>Hypovolaemic</x:v>
      </x:c>
      <x:c r="Y94" s="22" t="n">
        <x:v>74.2</x:v>
      </x:c>
      <x:c r="Z94" s="22" t="str">
        <x:v>NICE-UNSUPPORTED-001</x:v>
      </x:c>
      <x:c r="AA94" s="22" t="str">
        <x:v>No definitive NICE-only management</x:v>
      </x:c>
      <x:c r="AB94" s="22" t="str">
        <x:v>Clinical review required</x:v>
      </x:c>
      <x:c r="AC94" s="22" t="str">
        <x:v>No definitive NICE-only management output</x:v>
      </x:c>
      <x:c r="AD94" s="22" t="str">
        <x:v>Do not generate treatment instructions. Display that an approved local protocol or specialist review is required.</x:v>
      </x:c>
      <x:c r="AE94" s="22" t="str">
        <x:v>This is a safety rule, not a treatment recommendation.</x:v>
      </x:c>
      <x:c r="AF94" s="22" t="str"/>
      <x:c r="AG94" s="22" t="str"/>
      <x:c r="AH94" s="22" t="str">
        <x:v>Hypermagnesaemia adult General adult presentation guideline systematic review clinical review</x:v>
      </x:c>
      <x:c r="AI94" s="22" t="str">
        <x:v>train</x:v>
      </x:c>
      <x:c r="AJ94" s="22" t="str">
        <x:v>Yes</x:v>
      </x:c>
      <x:c r="AK94" s="22" t="str">
        <x:v>Pending</x:v>
      </x:c>
    </x:row>
    <x:row r="95">
      <x:c r="A95" t="str">
        <x:v>CASE-0688</x:v>
      </x:c>
      <x:c r="B95" s="22" t="str">
        <x:v>31-year-old female with hypomagnesaemia. Magnesium is 0.6 mmol/L; baseline is 0.65 mmol/L. Context: General adult presentation. Symptoms: tremor, cramps. IV fluids: No; CKD stage: None; heart failure: No; AKI: No; dialysis: No; eGFR: 106.2 mL/min/1.73m².</x:v>
      </x:c>
      <x:c r="C95" t="n">
        <x:v>31</x:v>
      </x:c>
      <x:c r="D95" t="str">
        <x:v>Female</x:v>
      </x:c>
      <x:c r="E95" t="str">
        <x:v>Not pregnant</x:v>
      </x:c>
      <x:c r="F95" t="str">
        <x:v>Magnesium</x:v>
      </x:c>
      <x:c r="G95" t="str">
        <x:v>Hypomagnesaemia</x:v>
      </x:c>
      <x:c r="H95" t="n">
        <x:v>0.6</x:v>
      </x:c>
      <x:c r="I95" t="str">
        <x:v>mmol/L</x:v>
      </x:c>
      <x:c r="J95" s="22" t="str">
        <x:v>General adult presentation</x:v>
      </x:c>
      <x:c r="K95" s="22" t="str">
        <x:v>No</x:v>
      </x:c>
      <x:c r="L95" s="22" t="str">
        <x:v>No</x:v>
      </x:c>
      <x:c r="M95" s="22" t="n">
        <x:v>0.65</x:v>
      </x:c>
      <x:c r="N95" s="22" t="str">
        <x:v>None</x:v>
      </x:c>
      <x:c r="O95" s="22" t="str">
        <x:v>No</x:v>
      </x:c>
      <x:c r="P95" s="22" t="str">
        <x:v>No</x:v>
      </x:c>
      <x:c r="Q95" s="22" t="str">
        <x:v>Not applicable</x:v>
      </x:c>
      <x:c r="R95" s="22" t="str">
        <x:v>Not applicable</x:v>
      </x:c>
      <x:c r="S95" s="22" t="str">
        <x:v>No</x:v>
      </x:c>
      <x:c r="T95" s="22" t="str">
        <x:v>No</x:v>
      </x:c>
      <x:c r="U95" s="22" t="str">
        <x:v>No</x:v>
      </x:c>
      <x:c r="V95" s="22" t="str">
        <x:v>tremor, cramps</x:v>
      </x:c>
      <x:c r="W95" s="22" t="str">
        <x:v>No</x:v>
      </x:c>
      <x:c r="X95" s="22" t="str">
        <x:v>Hypovolaemic</x:v>
      </x:c>
      <x:c r="Y95" s="22" t="n">
        <x:v>106.2</x:v>
      </x:c>
      <x:c r="Z95" s="22" t="str">
        <x:v>NICE-UNSUPPORTED-001</x:v>
      </x:c>
      <x:c r="AA95" s="22" t="str">
        <x:v>No definitive NICE-only management</x:v>
      </x:c>
      <x:c r="AB95" s="22" t="str">
        <x:v>Clinical review required</x:v>
      </x:c>
      <x:c r="AC95" s="22" t="str">
        <x:v>No definitive NICE-only management output</x:v>
      </x:c>
      <x:c r="AD95" s="22" t="str">
        <x:v>Do not generate treatment instructions. Display that an approved local protocol or specialist review is required.</x:v>
      </x:c>
      <x:c r="AE95" s="22" t="str">
        <x:v>This is a safety rule, not a treatment recommendation.</x:v>
      </x:c>
      <x:c r="AF95" s="22" t="str"/>
      <x:c r="AG95" s="22" t="str"/>
      <x:c r="AH95" s="22" t="str">
        <x:v>Hypomagnesaemia adult General adult presentation guideline systematic review clinical review</x:v>
      </x:c>
      <x:c r="AI95" s="22" t="str">
        <x:v>validation</x:v>
      </x:c>
      <x:c r="AJ95" s="22" t="str">
        <x:v>Yes</x:v>
      </x:c>
      <x:c r="AK95" s="22" t="str">
        <x:v>Pending</x:v>
      </x:c>
    </x:row>
    <x:row r="96">
      <x:c r="A96" t="str">
        <x:v>CASE-0955</x:v>
      </x:c>
      <x:c r="B96" s="22" t="str">
        <x:v>63-year-old male with no detected magnesium abnormality. Magnesium is 0.97 mmol/L. General adult presentation.</x:v>
      </x:c>
      <x:c r="C96" t="n">
        <x:v>63</x:v>
      </x:c>
      <x:c r="D96" t="str">
        <x:v>Male</x:v>
      </x:c>
      <x:c r="E96" t="str">
        <x:v>Not applicable</x:v>
      </x:c>
      <x:c r="F96" t="str">
        <x:v>Magnesium</x:v>
      </x:c>
      <x:c r="G96" t="str">
        <x:v>No abnormality detected</x:v>
      </x:c>
      <x:c r="H96" t="n">
        <x:v>0.97</x:v>
      </x:c>
      <x:c r="I96" t="str">
        <x:v>mmol/L</x:v>
      </x:c>
      <x:c r="J96" s="22" t="str">
        <x:v>General adult presentation</x:v>
      </x:c>
      <x:c r="K96" s="22" t="str">
        <x:v>No</x:v>
      </x:c>
      <x:c r="L96" s="22" t="str">
        <x:v>No</x:v>
      </x:c>
      <x:c r="M96" s="22" t="n">
        <x:v>0.97</x:v>
      </x:c>
      <x:c r="N96" s="22" t="str">
        <x:v>None</x:v>
      </x:c>
      <x:c r="O96" s="22" t="str">
        <x:v>No</x:v>
      </x:c>
      <x:c r="P96" s="22" t="str">
        <x:v>No</x:v>
      </x:c>
      <x:c r="Q96" s="22" t="str">
        <x:v>Not applicable</x:v>
      </x:c>
      <x:c r="R96" s="22" t="str">
        <x:v>Not applicable</x:v>
      </x:c>
      <x:c r="S96" s="22" t="str">
        <x:v>No</x:v>
      </x:c>
      <x:c r="T96" s="22" t="str">
        <x:v>No</x:v>
      </x:c>
      <x:c r="U96" s="22" t="str">
        <x:v>No</x:v>
      </x:c>
      <x:c r="V96" s="22" t="str">
        <x:v>None reported</x:v>
      </x:c>
      <x:c r="W96" s="22" t="str">
        <x:v>No</x:v>
      </x:c>
      <x:c r="X96" s="22" t="str">
        <x:v>Euvolaemic</x:v>
      </x:c>
      <x:c r="Y96" s="22" t="n">
        <x:v>88.7</x:v>
      </x:c>
      <x:c r="Z96" s="22" t="str">
        <x:v>NICE-GLOBAL-ASSESS-001</x:v>
      </x:c>
      <x:c r="AA96" s="22" t="str">
        <x:v>General NICE assessment only</x:v>
      </x:c>
      <x:c r="AB96" s="22" t="str">
        <x:v>Routine review</x:v>
      </x:c>
      <x:c r="AC96" s="22" t="str">
        <x:v>No abnormality-specific management</x:v>
      </x:c>
      <x:c r="AD96" s="22" t="str">
        <x:v>No electrolyte abnormality is detected by the synthetic reference range; interpret the result with the full clinical picture.</x:v>
      </x:c>
      <x:c r="AE96" s="22" t="str">
        <x:v>Synthetic reference ranges are not NICE management thresholds.</x:v>
      </x:c>
      <x:c r="AF96" s="22" t="str">
        <x:v>NICE-CG174</x:v>
      </x:c>
      <x:c r="AG96" s="22" t="str">
        <x:v>1.1.1 and 1.2.2</x:v>
      </x:c>
      <x:c r="AH96" s="22" t="str">
        <x:v>Magnesium reference interval adult laboratory interpretation</x:v>
      </x:c>
      <x:c r="AI96" s="22" t="str">
        <x:v>validation</x:v>
      </x:c>
      <x:c r="AJ96" s="22" t="str">
        <x:v>Yes</x:v>
      </x:c>
      <x:c r="AK96" s="22" t="str">
        <x:v>Pending</x:v>
      </x:c>
    </x:row>
    <x:row r="97">
      <x:c r="A97" t="str">
        <x:v>CASE-0551</x:v>
      </x:c>
      <x:c r="B97" s="22" t="str">
        <x:v>45-year-old male with hypercalcaemia. Adjusted calcium is 2.78 mmol/L; baseline is 3.77 mmol/L. Context: Possible primary hyperparathyroidism. Symptoms: polyuria, confusion, constipation. IV fluids: No; CKD stage: None; heart failure: No; AKI: No; dialysis: No; eGFR: 43.1 mL/min/1.73m².</x:v>
      </x:c>
      <x:c r="C97" t="n">
        <x:v>45</x:v>
      </x:c>
      <x:c r="D97" t="str">
        <x:v>Male</x:v>
      </x:c>
      <x:c r="E97" t="str">
        <x:v>Not applicable</x:v>
      </x:c>
      <x:c r="F97" t="str">
        <x:v>Adjusted calcium</x:v>
      </x:c>
      <x:c r="G97" t="str">
        <x:v>Hypercalcaemia</x:v>
      </x:c>
      <x:c r="H97" t="n">
        <x:v>2.78</x:v>
      </x:c>
      <x:c r="I97" t="str">
        <x:v>mmol/L</x:v>
      </x:c>
      <x:c r="J97" s="22" t="str">
        <x:v>Possible primary hyperparathyroidism</x:v>
      </x:c>
      <x:c r="K97" s="22" t="str">
        <x:v>No</x:v>
      </x:c>
      <x:c r="L97" s="22" t="str">
        <x:v>No</x:v>
      </x:c>
      <x:c r="M97" s="22" t="n">
        <x:v>3.77</x:v>
      </x:c>
      <x:c r="N97" s="22" t="str">
        <x:v>None</x:v>
      </x:c>
      <x:c r="O97" s="22" t="str">
        <x:v>No</x:v>
      </x:c>
      <x:c r="P97" s="22" t="str">
        <x:v>No</x:v>
      </x:c>
      <x:c r="Q97" s="22" t="str">
        <x:v>Not applicable</x:v>
      </x:c>
      <x:c r="R97" s="22" t="str">
        <x:v>Not applicable</x:v>
      </x:c>
      <x:c r="S97" s="22" t="str">
        <x:v>No</x:v>
      </x:c>
      <x:c r="T97" s="22" t="str">
        <x:v>No</x:v>
      </x:c>
      <x:c r="U97" s="22" t="str">
        <x:v>No</x:v>
      </x:c>
      <x:c r="V97" s="22" t="str">
        <x:v>polyuria, confusion, constipation</x:v>
      </x:c>
      <x:c r="W97" s="22" t="str">
        <x:v>No</x:v>
      </x:c>
      <x:c r="X97" s="22" t="str">
        <x:v>Uncertain</x:v>
      </x:c>
      <x:c r="Y97" s="22" t="n">
        <x:v>43.1</x:v>
      </x:c>
      <x:c r="Z97" s="22" t="str">
        <x:v>NICE-CA-PHPT-SCREEN-001</x:v>
      </x:c>
      <x:c r="AA97" s="22" t="str">
        <x:v>Specific context-based NICE guidance</x:v>
      </x:c>
      <x:c r="AB97" s="22" t="str">
        <x:v>Diagnostic assessment</x:v>
      </x:c>
      <x:c r="AC97" s="22" t="str">
        <x:v>Specific NICE diagnostic guidance</x:v>
      </x:c>
      <x:c r="AD97" s="22" t="str">
        <x:v>Use albumin-adjusted serum calcium in the NICE diagnostic pathway for primary hyperparathyroidism.</x:v>
      </x:c>
      <x:c r="AE97" s="22" t="str">
        <x:v>Not an acute general hypercalcaemia pathway.</x:v>
      </x:c>
      <x:c r="AF97" s="22" t="str">
        <x:v>NICE-NG132</x:v>
      </x:c>
      <x:c r="AG97" s="22" t="str">
        <x:v>1.1.1 and Terms used</x:v>
      </x:c>
      <x:c r="AH97" s="22" t="str">
        <x:v>Hypercalcaemia adult Possible primary hyperparathyroidism guideline systematic review clinical review</x:v>
      </x:c>
      <x:c r="AI97" s="22" t="str">
        <x:v>validation</x:v>
      </x:c>
      <x:c r="AJ97" s="22" t="str">
        <x:v>Yes</x:v>
      </x:c>
      <x:c r="AK97" s="22" t="str">
        <x:v>Pending</x:v>
      </x:c>
    </x:row>
    <x:row r="98">
      <x:c r="A98" t="str">
        <x:v>CASE-0351</x:v>
      </x:c>
      <x:c r="B98" s="22" t="str">
        <x:v>66-year-old female with hyperkalaemia. Potassium is 5.8 mmol/L; baseline is 6.91 mmol/L. Context: IV-fluid-related. Symptoms: paraesthesia. IV fluids: Yes; CKD stage: None; heart failure: No; AKI: No; dialysis: No; eGFR: 81.9 mL/min/1.73m².</x:v>
      </x:c>
      <x:c r="C98" t="n">
        <x:v>66</x:v>
      </x:c>
      <x:c r="D98" t="str">
        <x:v>Female</x:v>
      </x:c>
      <x:c r="E98" t="str">
        <x:v>Not applicable</x:v>
      </x:c>
      <x:c r="F98" t="str">
        <x:v>Potassium</x:v>
      </x:c>
      <x:c r="G98" t="str">
        <x:v>Hyperkalaemia</x:v>
      </x:c>
      <x:c r="H98" t="n">
        <x:v>5.8</x:v>
      </x:c>
      <x:c r="I98" t="str">
        <x:v>mmol/L</x:v>
      </x:c>
      <x:c r="J98" s="22" t="str">
        <x:v>IV-fluid-related</x:v>
      </x:c>
      <x:c r="K98" s="22" t="str">
        <x:v>Yes</x:v>
      </x:c>
      <x:c r="L98" s="22" t="str">
        <x:v>No</x:v>
      </x:c>
      <x:c r="M98" s="22" t="n">
        <x:v>6.91</x:v>
      </x:c>
      <x:c r="N98" s="22" t="str">
        <x:v>None</x:v>
      </x:c>
      <x:c r="O98" s="22" t="str">
        <x:v>No</x:v>
      </x:c>
      <x:c r="P98" s="22" t="str">
        <x:v>No</x:v>
      </x:c>
      <x:c r="Q98" s="22" t="str">
        <x:v>Not applicable</x:v>
      </x:c>
      <x:c r="R98" s="22" t="str">
        <x:v>Not applicable</x:v>
      </x:c>
      <x:c r="S98" s="22" t="str">
        <x:v>No</x:v>
      </x:c>
      <x:c r="T98" s="22" t="str">
        <x:v>No</x:v>
      </x:c>
      <x:c r="U98" s="22" t="str">
        <x:v>No</x:v>
      </x:c>
      <x:c r="V98" s="22" t="str">
        <x:v>paraesthesia</x:v>
      </x:c>
      <x:c r="W98" s="22" t="str">
        <x:v>No</x:v>
      </x:c>
      <x:c r="X98" s="22" t="str">
        <x:v>Hypervolaemic</x:v>
      </x:c>
      <x:c r="Y98" s="22" t="n">
        <x:v>81.9</x:v>
      </x:c>
      <x:c r="Z98" s="22" t="str">
        <x:v>NICE-K-HYPER-IV-001</x:v>
      </x:c>
      <x:c r="AA98" s="22" t="str">
        <x:v>NICE detection / reassessment / escalation</x:v>
      </x:c>
      <x:c r="AB98" s="22" t="str">
        <x:v>Urgent review</x:v>
      </x:c>
      <x:c r="AC98" s="22" t="str">
        <x:v>NICE detection and IV-plan reassessment</x:v>
      </x:c>
      <x:c r="AD98" s="22" t="str">
        <x:v>Treat as possible IV-fluid mismanagement: reassess the IV-fluid prescription, review contributing factors and monitor the patient.</x:v>
      </x:c>
      <x:c r="AE98" s="22" t="str">
        <x:v>Not a complete acute hyperkalaemia treatment pathway.</x:v>
      </x:c>
      <x:c r="AF98" s="22" t="str">
        <x:v>NICE-CG174</x:v>
      </x:c>
      <x:c r="AG98" s="22" t="str">
        <x:v>1.2.4, 1.5.1, Table 1</x:v>
      </x:c>
      <x:c r="AH98" s="22" t="str">
        <x:v>Hyperkalaemia adult IV-fluid-related guideline systematic review clinical review</x:v>
      </x:c>
      <x:c r="AI98" s="22" t="str">
        <x:v>test</x:v>
      </x:c>
      <x:c r="AJ98" s="22" t="str">
        <x:v>Yes</x:v>
      </x:c>
      <x:c r="AK98" s="22" t="str">
        <x:v>Pending</x:v>
      </x:c>
    </x:row>
    <x:row r="99">
      <x:c r="A99" t="str">
        <x:v>CASE-0028</x:v>
      </x:c>
      <x:c r="B99" s="22" t="str">
        <x:v>38-year-old female with hyponatraemia. Sodium is 129.2 mmol/L; baseline is 123.8 mmol/L. Context: General adult presentation. Symptoms: headache, lethargy. IV fluids: No; CKD stage: None; heart failure: No; AKI: No; dialysis: No; eGFR: 21.8 mL/min/1.73m².</x:v>
      </x:c>
      <x:c r="C99" t="n">
        <x:v>38</x:v>
      </x:c>
      <x:c r="D99" t="str">
        <x:v>Female</x:v>
      </x:c>
      <x:c r="E99" t="str">
        <x:v>Not pregnant</x:v>
      </x:c>
      <x:c r="F99" t="str">
        <x:v>Sodium</x:v>
      </x:c>
      <x:c r="G99" t="str">
        <x:v>Hyponatraemia</x:v>
      </x:c>
      <x:c r="H99" t="n">
        <x:v>129.2</x:v>
      </x:c>
      <x:c r="I99" t="str">
        <x:v>mmol/L</x:v>
      </x:c>
      <x:c r="J99" s="22" t="str">
        <x:v>General adult presentation</x:v>
      </x:c>
      <x:c r="K99" s="22" t="str">
        <x:v>No</x:v>
      </x:c>
      <x:c r="L99" s="22" t="str">
        <x:v>No</x:v>
      </x:c>
      <x:c r="M99" s="22" t="n">
        <x:v>123.8</x:v>
      </x:c>
      <x:c r="N99" s="22" t="str">
        <x:v>None</x:v>
      </x:c>
      <x:c r="O99" s="22" t="str">
        <x:v>No</x:v>
      </x:c>
      <x:c r="P99" s="22" t="str">
        <x:v>No</x:v>
      </x:c>
      <x:c r="Q99" s="22" t="str">
        <x:v>Not applicable</x:v>
      </x:c>
      <x:c r="R99" s="22" t="str">
        <x:v>Not applicable</x:v>
      </x:c>
      <x:c r="S99" s="22" t="str">
        <x:v>No</x:v>
      </x:c>
      <x:c r="T99" s="22" t="str">
        <x:v>No</x:v>
      </x:c>
      <x:c r="U99" s="22" t="str">
        <x:v>No</x:v>
      </x:c>
      <x:c r="V99" s="22" t="str">
        <x:v>headache, lethargy</x:v>
      </x:c>
      <x:c r="W99" s="22" t="str">
        <x:v>No</x:v>
      </x:c>
      <x:c r="X99" s="22" t="str">
        <x:v>Uncertain</x:v>
      </x:c>
      <x:c r="Y99" s="22" t="n">
        <x:v>21.8</x:v>
      </x:c>
      <x:c r="Z99" s="22" t="str">
        <x:v>NICE-UNSUPPORTED-001</x:v>
      </x:c>
      <x:c r="AA99" s="22" t="str">
        <x:v>No definitive NICE-only management</x:v>
      </x:c>
      <x:c r="AB99" s="22" t="str">
        <x:v>Clinical review required</x:v>
      </x:c>
      <x:c r="AC99" s="22" t="str">
        <x:v>No definitive NICE-only management output</x:v>
      </x:c>
      <x:c r="AD99" s="22" t="str">
        <x:v>Do not generate treatment instructions. Display that an approved local protocol or specialist review is required.</x:v>
      </x:c>
      <x:c r="AE99" s="22" t="str">
        <x:v>This is a safety rule, not a treatment recommendation.</x:v>
      </x:c>
      <x:c r="AF99" s="22" t="str"/>
      <x:c r="AG99" s="22" t="str"/>
      <x:c r="AH99" s="22" t="str">
        <x:v>Hyponatraemia adult General adult presentation guideline systematic review clinical review</x:v>
      </x:c>
      <x:c r="AI99" s="22" t="str">
        <x:v>test</x:v>
      </x:c>
      <x:c r="AJ99" s="22" t="str">
        <x:v>Yes</x:v>
      </x:c>
      <x:c r="AK99" s="22" t="str">
        <x:v>Pending</x:v>
      </x:c>
    </x:row>
    <x:row r="100">
      <x:c r="A100" t="str">
        <x:v>CASE-0779</x:v>
      </x:c>
      <x:c r="B100" s="22" t="str">
        <x:v>71-year-old male with hypermagnesaemia. Magnesium is 1.65 mmol/L; baseline is 3.67 mmol/L. Context: General adult presentation. Symptoms: reduced reflexes. IV fluids: No; CKD stage: None; heart failure: No; AKI: No; dialysis: No; eGFR: 21.1 mL/min/1.73m².</x:v>
      </x:c>
      <x:c r="C100" t="n">
        <x:v>71</x:v>
      </x:c>
      <x:c r="D100" t="str">
        <x:v>Male</x:v>
      </x:c>
      <x:c r="E100" t="str">
        <x:v>Not applicable</x:v>
      </x:c>
      <x:c r="F100" t="str">
        <x:v>Magnesium</x:v>
      </x:c>
      <x:c r="G100" t="str">
        <x:v>Hypermagnesaemia</x:v>
      </x:c>
      <x:c r="H100" t="n">
        <x:v>1.65</x:v>
      </x:c>
      <x:c r="I100" t="str">
        <x:v>mmol/L</x:v>
      </x:c>
      <x:c r="J100" s="22" t="str">
        <x:v>General adult presentation</x:v>
      </x:c>
      <x:c r="K100" s="22" t="str">
        <x:v>No</x:v>
      </x:c>
      <x:c r="L100" s="22" t="str">
        <x:v>No</x:v>
      </x:c>
      <x:c r="M100" s="22" t="n">
        <x:v>3.67</x:v>
      </x:c>
      <x:c r="N100" s="22" t="str">
        <x:v>None</x:v>
      </x:c>
      <x:c r="O100" s="22" t="str">
        <x:v>No</x:v>
      </x:c>
      <x:c r="P100" s="22" t="str">
        <x:v>No</x:v>
      </x:c>
      <x:c r="Q100" s="22" t="str">
        <x:v>Not applicable</x:v>
      </x:c>
      <x:c r="R100" s="22" t="str">
        <x:v>Not applicable</x:v>
      </x:c>
      <x:c r="S100" s="22" t="str">
        <x:v>No</x:v>
      </x:c>
      <x:c r="T100" s="22" t="str">
        <x:v>No</x:v>
      </x:c>
      <x:c r="U100" s="22" t="str">
        <x:v>No</x:v>
      </x:c>
      <x:c r="V100" s="22" t="str">
        <x:v>reduced reflexes</x:v>
      </x:c>
      <x:c r="W100" s="22" t="str">
        <x:v>No</x:v>
      </x:c>
      <x:c r="X100" s="22" t="str">
        <x:v>Hypervolaemic</x:v>
      </x:c>
      <x:c r="Y100" s="22" t="n">
        <x:v>21.1</x:v>
      </x:c>
      <x:c r="Z100" s="22" t="str">
        <x:v>NICE-UNSUPPORTED-001</x:v>
      </x:c>
      <x:c r="AA100" s="22" t="str">
        <x:v>No definitive NICE-only management</x:v>
      </x:c>
      <x:c r="AB100" s="22" t="str">
        <x:v>Clinical review required</x:v>
      </x:c>
      <x:c r="AC100" s="22" t="str">
        <x:v>No definitive NICE-only management output</x:v>
      </x:c>
      <x:c r="AD100" s="22" t="str">
        <x:v>Do not generate treatment instructions. Display that an approved local protocol or specialist review is required.</x:v>
      </x:c>
      <x:c r="AE100" s="22" t="str">
        <x:v>This is a safety rule, not a treatment recommendation.</x:v>
      </x:c>
      <x:c r="AF100" s="22" t="str"/>
      <x:c r="AG100" s="22" t="str"/>
      <x:c r="AH100" s="22" t="str">
        <x:v>Hypermagnesaemia adult General adult presentation guideline systematic review clinical review</x:v>
      </x:c>
      <x:c r="AI100" s="22" t="str">
        <x:v>test</x:v>
      </x:c>
      <x:c r="AJ100" s="22" t="str">
        <x:v>Yes</x:v>
      </x:c>
      <x:c r="AK100" s="22" t="str">
        <x:v>Pending</x:v>
      </x:c>
    </x:row>
    <x:row r="101">
      <x:c r="A101" t="str">
        <x:v>CASE-0938</x:v>
      </x:c>
      <x:c r="B101" s="22" t="str">
        <x:v>50-year-old male with no detected adjusted calcium abnormality. Adjusted calcium is 2.25 mmol/L. General adult presentation.</x:v>
      </x:c>
      <x:c r="C101" t="n">
        <x:v>50</x:v>
      </x:c>
      <x:c r="D101" t="str">
        <x:v>Male</x:v>
      </x:c>
      <x:c r="E101" t="str">
        <x:v>Not applicable</x:v>
      </x:c>
      <x:c r="F101" t="str">
        <x:v>Adjusted calcium</x:v>
      </x:c>
      <x:c r="G101" t="str">
        <x:v>No abnormality detected</x:v>
      </x:c>
      <x:c r="H101" t="n">
        <x:v>2.25</x:v>
      </x:c>
      <x:c r="I101" t="str">
        <x:v>mmol/L</x:v>
      </x:c>
      <x:c r="J101" s="22" t="str">
        <x:v>General adult presentation</x:v>
      </x:c>
      <x:c r="K101" s="22" t="str">
        <x:v>No</x:v>
      </x:c>
      <x:c r="L101" s="22" t="str">
        <x:v>No</x:v>
      </x:c>
      <x:c r="M101" s="22" t="n">
        <x:v>2.25</x:v>
      </x:c>
      <x:c r="N101" s="22" t="str">
        <x:v>None</x:v>
      </x:c>
      <x:c r="O101" s="22" t="str">
        <x:v>No</x:v>
      </x:c>
      <x:c r="P101" s="22" t="str">
        <x:v>No</x:v>
      </x:c>
      <x:c r="Q101" s="22" t="str">
        <x:v>Not applicable</x:v>
      </x:c>
      <x:c r="R101" s="22" t="str">
        <x:v>Not applicable</x:v>
      </x:c>
      <x:c r="S101" s="22" t="str">
        <x:v>No</x:v>
      </x:c>
      <x:c r="T101" s="22" t="str">
        <x:v>No</x:v>
      </x:c>
      <x:c r="U101" s="22" t="str">
        <x:v>No</x:v>
      </x:c>
      <x:c r="V101" s="22" t="str">
        <x:v>None reported</x:v>
      </x:c>
      <x:c r="W101" s="22" t="str">
        <x:v>No</x:v>
      </x:c>
      <x:c r="X101" s="22" t="str">
        <x:v>Euvolaemic</x:v>
      </x:c>
      <x:c r="Y101" s="22" t="n">
        <x:v>84.5</x:v>
      </x:c>
      <x:c r="Z101" s="22" t="str">
        <x:v>NICE-GLOBAL-ASSESS-001</x:v>
      </x:c>
      <x:c r="AA101" s="22" t="str">
        <x:v>General NICE assessment only</x:v>
      </x:c>
      <x:c r="AB101" s="22" t="str">
        <x:v>Routine review</x:v>
      </x:c>
      <x:c r="AC101" s="22" t="str">
        <x:v>No abnormality-specific management</x:v>
      </x:c>
      <x:c r="AD101" s="22" t="str">
        <x:v>No electrolyte abnormality is detected by the synthetic reference range; interpret the result with the full clinical picture.</x:v>
      </x:c>
      <x:c r="AE101" s="22" t="str">
        <x:v>Synthetic reference ranges are not NICE management thresholds.</x:v>
      </x:c>
      <x:c r="AF101" s="22" t="str">
        <x:v>NICE-CG174</x:v>
      </x:c>
      <x:c r="AG101" s="22" t="str">
        <x:v>1.1.1 and 1.2.2</x:v>
      </x:c>
      <x:c r="AH101" s="22" t="str">
        <x:v>Adjusted calcium reference interval adult laboratory interpretation</x:v>
      </x:c>
      <x:c r="AI101" s="22" t="str">
        <x:v>train</x:v>
      </x:c>
      <x:c r="AJ101" s="22" t="str">
        <x:v>Yes</x:v>
      </x:c>
      <x:c r="AK101" s="22" t="str">
        <x:v>Pending</x:v>
      </x:c>
    </x:row>
    <x:row r="102">
      <x:c r="A102" t="str">
        <x:v>CASE-0477</x:v>
      </x:c>
      <x:c r="B102" s="22" t="str">
        <x:v>52-year-old male with hypocalcaemia. Adjusted calcium is 1.8 mmol/L; baseline is 2.1 mmol/L. Context: General adult presentation. Symptoms: tingling, tetany. IV fluids: No; CKD stage: None; heart failure: No; AKI: No; dialysis: No; eGFR: 115.8 mL/min/1.73m².</x:v>
      </x:c>
      <x:c r="C102" t="n">
        <x:v>52</x:v>
      </x:c>
      <x:c r="D102" t="str">
        <x:v>Male</x:v>
      </x:c>
      <x:c r="E102" t="str">
        <x:v>Not applicable</x:v>
      </x:c>
      <x:c r="F102" t="str">
        <x:v>Adjusted calcium</x:v>
      </x:c>
      <x:c r="G102" t="str">
        <x:v>Hypocalcaemia</x:v>
      </x:c>
      <x:c r="H102" t="n">
        <x:v>1.8</x:v>
      </x:c>
      <x:c r="I102" t="str">
        <x:v>mmol/L</x:v>
      </x:c>
      <x:c r="J102" s="22" t="str">
        <x:v>General adult presentation</x:v>
      </x:c>
      <x:c r="K102" s="22" t="str">
        <x:v>No</x:v>
      </x:c>
      <x:c r="L102" s="22" t="str">
        <x:v>No</x:v>
      </x:c>
      <x:c r="M102" s="22" t="n">
        <x:v>2.1</x:v>
      </x:c>
      <x:c r="N102" s="22" t="str">
        <x:v>None</x:v>
      </x:c>
      <x:c r="O102" s="22" t="str">
        <x:v>No</x:v>
      </x:c>
      <x:c r="P102" s="22" t="str">
        <x:v>No</x:v>
      </x:c>
      <x:c r="Q102" s="22" t="str">
        <x:v>Not applicable</x:v>
      </x:c>
      <x:c r="R102" s="22" t="str">
        <x:v>Not applicable</x:v>
      </x:c>
      <x:c r="S102" s="22" t="str">
        <x:v>No</x:v>
      </x:c>
      <x:c r="T102" s="22" t="str">
        <x:v>No</x:v>
      </x:c>
      <x:c r="U102" s="22" t="str">
        <x:v>No</x:v>
      </x:c>
      <x:c r="V102" s="22" t="str">
        <x:v>tingling, tetany</x:v>
      </x:c>
      <x:c r="W102" s="22" t="str">
        <x:v>No</x:v>
      </x:c>
      <x:c r="X102" s="22" t="str">
        <x:v>Euvolaemic</x:v>
      </x:c>
      <x:c r="Y102" s="22" t="n">
        <x:v>115.8</x:v>
      </x:c>
      <x:c r="Z102" s="22" t="str">
        <x:v>NICE-UNSUPPORTED-001</x:v>
      </x:c>
      <x:c r="AA102" s="22" t="str">
        <x:v>No definitive NICE-only management</x:v>
      </x:c>
      <x:c r="AB102" s="22" t="str">
        <x:v>Clinical review required</x:v>
      </x:c>
      <x:c r="AC102" s="22" t="str">
        <x:v>No definitive NICE-only management output</x:v>
      </x:c>
      <x:c r="AD102" s="22" t="str">
        <x:v>Do not generate treatment instructions. Display that an approved local protocol or specialist review is required.</x:v>
      </x:c>
      <x:c r="AE102" s="22" t="str">
        <x:v>This is a safety rule, not a treatment recommendation.</x:v>
      </x:c>
      <x:c r="AF102" s="22" t="str"/>
      <x:c r="AG102" s="22" t="str"/>
      <x:c r="AH102" s="22" t="str">
        <x:v>Hypocalcaemia adult General adult presentation guideline systematic review clinical review</x:v>
      </x:c>
      <x:c r="AI102" s="22" t="str">
        <x:v>train</x:v>
      </x:c>
      <x:c r="AJ102" s="22" t="str">
        <x:v>Yes</x:v>
      </x:c>
      <x:c r="AK102" s="22" t="str">
        <x:v>Pending</x:v>
      </x:c>
    </x:row>
    <x:row r="103">
      <x:c r="A103" t="str">
        <x:v>CASE-0214</x:v>
      </x:c>
      <x:c r="B103" s="22" t="str">
        <x:v>87-year-old female with hypokalaemia. Potassium is 2.62 mmol/L; baseline is 3.37 mmol/L. Context: General adult presentation. Symptoms: palpitations, weakness, muscle cramps. IV fluids: No; CKD stage: None; heart failure: No; AKI: No; dialysis: No; eGFR: 22.4 mL/min/1.73m².</x:v>
      </x:c>
      <x:c r="C103" t="n">
        <x:v>87</x:v>
      </x:c>
      <x:c r="D103" t="str">
        <x:v>Female</x:v>
      </x:c>
      <x:c r="E103" t="str">
        <x:v>Not applicable</x:v>
      </x:c>
      <x:c r="F103" t="str">
        <x:v>Potassium</x:v>
      </x:c>
      <x:c r="G103" t="str">
        <x:v>Hypokalaemia</x:v>
      </x:c>
      <x:c r="H103" t="n">
        <x:v>2.62</x:v>
      </x:c>
      <x:c r="I103" t="str">
        <x:v>mmol/L</x:v>
      </x:c>
      <x:c r="J103" s="22" t="str">
        <x:v>General adult presentation</x:v>
      </x:c>
      <x:c r="K103" s="22" t="str">
        <x:v>No</x:v>
      </x:c>
      <x:c r="L103" s="22" t="str">
        <x:v>No</x:v>
      </x:c>
      <x:c r="M103" s="22" t="n">
        <x:v>3.37</x:v>
      </x:c>
      <x:c r="N103" s="22" t="str">
        <x:v>None</x:v>
      </x:c>
      <x:c r="O103" s="22" t="str">
        <x:v>No</x:v>
      </x:c>
      <x:c r="P103" s="22" t="str">
        <x:v>No</x:v>
      </x:c>
      <x:c r="Q103" s="22" t="str">
        <x:v>Not applicable</x:v>
      </x:c>
      <x:c r="R103" s="22" t="str">
        <x:v>Not applicable</x:v>
      </x:c>
      <x:c r="S103" s="22" t="str">
        <x:v>No</x:v>
      </x:c>
      <x:c r="T103" s="22" t="str">
        <x:v>No</x:v>
      </x:c>
      <x:c r="U103" s="22" t="str">
        <x:v>No</x:v>
      </x:c>
      <x:c r="V103" s="22" t="str">
        <x:v>palpitations, weakness, muscle cramps</x:v>
      </x:c>
      <x:c r="W103" s="22" t="str">
        <x:v>No</x:v>
      </x:c>
      <x:c r="X103" s="22" t="str">
        <x:v>Euvolaemic</x:v>
      </x:c>
      <x:c r="Y103" s="22" t="n">
        <x:v>22.4</x:v>
      </x:c>
      <x:c r="Z103" s="22" t="str">
        <x:v>NICE-UNSUPPORTED-001</x:v>
      </x:c>
      <x:c r="AA103" s="22" t="str">
        <x:v>No definitive NICE-only management</x:v>
      </x:c>
      <x:c r="AB103" s="22" t="str">
        <x:v>Clinical review required</x:v>
      </x:c>
      <x:c r="AC103" s="22" t="str">
        <x:v>No definitive NICE-only management output</x:v>
      </x:c>
      <x:c r="AD103" s="22" t="str">
        <x:v>Do not generate treatment instructions. Display that an approved local protocol or specialist review is required.</x:v>
      </x:c>
      <x:c r="AE103" s="22" t="str">
        <x:v>This is a safety rule, not a treatment recommendation.</x:v>
      </x:c>
      <x:c r="AF103" s="22" t="str"/>
      <x:c r="AG103" s="22" t="str"/>
      <x:c r="AH103" s="22" t="str">
        <x:v>Hypokalaemia adult General adult presentation guideline systematic review clinical review</x:v>
      </x:c>
      <x:c r="AI103" s="22" t="str">
        <x:v>train</x:v>
      </x:c>
      <x:c r="AJ103" s="22" t="str">
        <x:v>Yes</x:v>
      </x:c>
      <x:c r="AK103" s="22" t="str">
        <x:v>Pending</x:v>
      </x:c>
    </x:row>
    <x:row r="104">
      <x:c r="A104" t="str">
        <x:v>CASE-0426</x:v>
      </x:c>
      <x:c r="B104" s="22" t="str">
        <x:v>43-year-old male with hypocalcaemia. Adjusted calcium is 1.81 mmol/L; baseline is 1.83 mmol/L. Context: General adult presentation. Symptoms: muscle cramps, tetany, tingling. IV fluids: No; CKD stage: None; heart failure: No; AKI: No; dialysis: No; eGFR: 108.2 mL/min/1.73m².</x:v>
      </x:c>
      <x:c r="C104" t="n">
        <x:v>43</x:v>
      </x:c>
      <x:c r="D104" t="str">
        <x:v>Male</x:v>
      </x:c>
      <x:c r="E104" t="str">
        <x:v>Not applicable</x:v>
      </x:c>
      <x:c r="F104" t="str">
        <x:v>Adjusted calcium</x:v>
      </x:c>
      <x:c r="G104" t="str">
        <x:v>Hypocalcaemia</x:v>
      </x:c>
      <x:c r="H104" t="n">
        <x:v>1.81</x:v>
      </x:c>
      <x:c r="I104" t="str">
        <x:v>mmol/L</x:v>
      </x:c>
      <x:c r="J104" s="22" t="str">
        <x:v>General adult presentation</x:v>
      </x:c>
      <x:c r="K104" s="22" t="str">
        <x:v>No</x:v>
      </x:c>
      <x:c r="L104" s="22" t="str">
        <x:v>No</x:v>
      </x:c>
      <x:c r="M104" s="22" t="n">
        <x:v>1.83</x:v>
      </x:c>
      <x:c r="N104" s="22" t="str">
        <x:v>None</x:v>
      </x:c>
      <x:c r="O104" s="22" t="str">
        <x:v>No</x:v>
      </x:c>
      <x:c r="P104" s="22" t="str">
        <x:v>No</x:v>
      </x:c>
      <x:c r="Q104" s="22" t="str">
        <x:v>Not applicable</x:v>
      </x:c>
      <x:c r="R104" s="22" t="str">
        <x:v>Not applicable</x:v>
      </x:c>
      <x:c r="S104" s="22" t="str">
        <x:v>No</x:v>
      </x:c>
      <x:c r="T104" s="22" t="str">
        <x:v>No</x:v>
      </x:c>
      <x:c r="U104" s="22" t="str">
        <x:v>No</x:v>
      </x:c>
      <x:c r="V104" s="22" t="str">
        <x:v>muscle cramps, tetany, tingling</x:v>
      </x:c>
      <x:c r="W104" s="22" t="str">
        <x:v>No</x:v>
      </x:c>
      <x:c r="X104" s="22" t="str">
        <x:v>Hypovolaemic</x:v>
      </x:c>
      <x:c r="Y104" s="22" t="n">
        <x:v>108.2</x:v>
      </x:c>
      <x:c r="Z104" s="22" t="str">
        <x:v>NICE-UNSUPPORTED-001</x:v>
      </x:c>
      <x:c r="AA104" s="22" t="str">
        <x:v>No definitive NICE-only management</x:v>
      </x:c>
      <x:c r="AB104" s="22" t="str">
        <x:v>Clinical review required</x:v>
      </x:c>
      <x:c r="AC104" s="22" t="str">
        <x:v>No definitive NICE-only management output</x:v>
      </x:c>
      <x:c r="AD104" s="22" t="str">
        <x:v>Do not generate treatment instructions. Display that an approved local protocol or specialist review is required.</x:v>
      </x:c>
      <x:c r="AE104" s="22" t="str">
        <x:v>This is a safety rule, not a treatment recommendation.</x:v>
      </x:c>
      <x:c r="AF104" s="22" t="str"/>
      <x:c r="AG104" s="22" t="str"/>
      <x:c r="AH104" s="22" t="str">
        <x:v>Hypocalcaemia adult General adult presentation guideline systematic review clinical review</x:v>
      </x:c>
      <x:c r="AI104" s="22" t="str">
        <x:v>train</x:v>
      </x:c>
      <x:c r="AJ104" s="22" t="str">
        <x:v>Yes</x:v>
      </x:c>
      <x:c r="AK104" s="22" t="str">
        <x:v>Pending</x:v>
      </x:c>
    </x:row>
    <x:row r="105">
      <x:c r="A105" t="str">
        <x:v>CASE-0467</x:v>
      </x:c>
      <x:c r="B105" s="22" t="str">
        <x:v>71-year-old female with hypocalcaemia. Adjusted calcium is 2.09 mmol/L; baseline is 1.61 mmol/L. Context: General adult presentation. Symptoms: tingling. IV fluids: No; CKD stage: None; heart failure: No; AKI: No; dialysis: No; eGFR: 93.2 mL/min/1.73m².</x:v>
      </x:c>
      <x:c r="C105" t="n">
        <x:v>71</x:v>
      </x:c>
      <x:c r="D105" t="str">
        <x:v>Female</x:v>
      </x:c>
      <x:c r="E105" t="str">
        <x:v>Not applicable</x:v>
      </x:c>
      <x:c r="F105" t="str">
        <x:v>Adjusted calcium</x:v>
      </x:c>
      <x:c r="G105" t="str">
        <x:v>Hypocalcaemia</x:v>
      </x:c>
      <x:c r="H105" t="n">
        <x:v>2.09</x:v>
      </x:c>
      <x:c r="I105" t="str">
        <x:v>mmol/L</x:v>
      </x:c>
      <x:c r="J105" s="22" t="str">
        <x:v>General adult presentation</x:v>
      </x:c>
      <x:c r="K105" s="22" t="str">
        <x:v>No</x:v>
      </x:c>
      <x:c r="L105" s="22" t="str">
        <x:v>No</x:v>
      </x:c>
      <x:c r="M105" s="22" t="n">
        <x:v>1.61</x:v>
      </x:c>
      <x:c r="N105" s="22" t="str">
        <x:v>None</x:v>
      </x:c>
      <x:c r="O105" s="22" t="str">
        <x:v>No</x:v>
      </x:c>
      <x:c r="P105" s="22" t="str">
        <x:v>No</x:v>
      </x:c>
      <x:c r="Q105" s="22" t="str">
        <x:v>Not applicable</x:v>
      </x:c>
      <x:c r="R105" s="22" t="str">
        <x:v>Not applicable</x:v>
      </x:c>
      <x:c r="S105" s="22" t="str">
        <x:v>No</x:v>
      </x:c>
      <x:c r="T105" s="22" t="str">
        <x:v>No</x:v>
      </x:c>
      <x:c r="U105" s="22" t="str">
        <x:v>No</x:v>
      </x:c>
      <x:c r="V105" s="22" t="str">
        <x:v>tingling</x:v>
      </x:c>
      <x:c r="W105" s="22" t="str">
        <x:v>No</x:v>
      </x:c>
      <x:c r="X105" s="22" t="str">
        <x:v>Euvolaemic</x:v>
      </x:c>
      <x:c r="Y105" s="22" t="n">
        <x:v>93.2</x:v>
      </x:c>
      <x:c r="Z105" s="22" t="str">
        <x:v>NICE-UNSUPPORTED-001</x:v>
      </x:c>
      <x:c r="AA105" s="22" t="str">
        <x:v>No definitive NICE-only management</x:v>
      </x:c>
      <x:c r="AB105" s="22" t="str">
        <x:v>Clinical review required</x:v>
      </x:c>
      <x:c r="AC105" s="22" t="str">
        <x:v>No definitive NICE-only management output</x:v>
      </x:c>
      <x:c r="AD105" s="22" t="str">
        <x:v>Do not generate treatment instructions. Display that an approved local protocol or specialist review is required.</x:v>
      </x:c>
      <x:c r="AE105" s="22" t="str">
        <x:v>This is a safety rule, not a treatment recommendation.</x:v>
      </x:c>
      <x:c r="AF105" s="22" t="str"/>
      <x:c r="AG105" s="22" t="str"/>
      <x:c r="AH105" s="22" t="str">
        <x:v>Hypocalcaemia adult General adult presentation guideline systematic review clinical review</x:v>
      </x:c>
      <x:c r="AI105" s="22" t="str">
        <x:v>train</x:v>
      </x:c>
      <x:c r="AJ105" s="22" t="str">
        <x:v>Yes</x:v>
      </x:c>
      <x:c r="AK105" s="22" t="str">
        <x:v>Pending</x:v>
      </x:c>
    </x:row>
    <x:row r="106">
      <x:c r="A106" t="str">
        <x:v>CASE-0157</x:v>
      </x:c>
      <x:c r="B106" s="22" t="str">
        <x:v>63-year-old female with hypernatraemia. Sodium is 167.1 mmol/L; baseline is 133.4 mmol/L. Context: IV-fluid-related. Symptoms: weakness, confusion. IV fluids: Yes; CKD stage: None; heart failure: No; AKI: No; dialysis: No; eGFR: 89.2 mL/min/1.73m².</x:v>
      </x:c>
      <x:c r="C106" t="n">
        <x:v>63</x:v>
      </x:c>
      <x:c r="D106" t="str">
        <x:v>Female</x:v>
      </x:c>
      <x:c r="E106" t="str">
        <x:v>Not applicable</x:v>
      </x:c>
      <x:c r="F106" t="str">
        <x:v>Sodium</x:v>
      </x:c>
      <x:c r="G106" t="str">
        <x:v>Hypernatraemia</x:v>
      </x:c>
      <x:c r="H106" t="n">
        <x:v>167.1</x:v>
      </x:c>
      <x:c r="I106" t="str">
        <x:v>mmol/L</x:v>
      </x:c>
      <x:c r="J106" s="22" t="str">
        <x:v>IV-fluid-related</x:v>
      </x:c>
      <x:c r="K106" s="22" t="str">
        <x:v>Yes</x:v>
      </x:c>
      <x:c r="L106" s="22" t="str">
        <x:v>Yes</x:v>
      </x:c>
      <x:c r="M106" s="22" t="n">
        <x:v>133.4</x:v>
      </x:c>
      <x:c r="N106" s="22" t="str">
        <x:v>None</x:v>
      </x:c>
      <x:c r="O106" s="22" t="str">
        <x:v>No</x:v>
      </x:c>
      <x:c r="P106" s="22" t="str">
        <x:v>No</x:v>
      </x:c>
      <x:c r="Q106" s="22" t="str">
        <x:v>Not applicable</x:v>
      </x:c>
      <x:c r="R106" s="22" t="str">
        <x:v>Not applicable</x:v>
      </x:c>
      <x:c r="S106" s="22" t="str">
        <x:v>No</x:v>
      </x:c>
      <x:c r="T106" s="22" t="str">
        <x:v>No</x:v>
      </x:c>
      <x:c r="U106" s="22" t="str">
        <x:v>No</x:v>
      </x:c>
      <x:c r="V106" s="22" t="str">
        <x:v>weakness, confusion</x:v>
      </x:c>
      <x:c r="W106" s="22" t="str">
        <x:v>No</x:v>
      </x:c>
      <x:c r="X106" s="22" t="str">
        <x:v>Hypervolaemic</x:v>
      </x:c>
      <x:c r="Y106" s="22" t="n">
        <x:v>89.2</x:v>
      </x:c>
      <x:c r="Z106" s="22" t="str">
        <x:v>NICE-NA-HYPER-IV-001</x:v>
      </x:c>
      <x:c r="AA106" s="22" t="str">
        <x:v>NICE detection / reassessment / escalation</x:v>
      </x:c>
      <x:c r="AB106" s="22" t="str">
        <x:v>Urgent review</x:v>
      </x:c>
      <x:c r="AC106" s="22" t="str">
        <x:v>NICE detection, reassessment and escalation</x:v>
      </x:c>
      <x:c r="AD106" s="22" t="str">
        <x:v>Treat as possible IV-fluid mismanagement: reassess the fluid prescription and monitoring plan, and seek expert help for the imbalance.</x:v>
      </x:c>
      <x:c r="AE106" s="22" t="str">
        <x:v>No definitive sodium-correction regimen is provided by CG174.</x:v>
      </x:c>
      <x:c r="AF106" s="22" t="str">
        <x:v>NICE-CG174</x:v>
      </x:c>
      <x:c r="AG106" s="22" t="str">
        <x:v>1.2.4, 1.5.1, 1.5.2, Table 1</x:v>
      </x:c>
      <x:c r="AH106" s="22" t="str">
        <x:v>Hypernatraemia adult IV-fluid-related guideline systematic review clinical review</x:v>
      </x:c>
      <x:c r="AI106" s="22" t="str">
        <x:v>train</x:v>
      </x:c>
      <x:c r="AJ106" s="22" t="str">
        <x:v>Yes</x:v>
      </x:c>
      <x:c r="AK106" s="22" t="str">
        <x:v>Pending</x:v>
      </x:c>
    </x:row>
    <x:row r="107">
      <x:c r="A107" t="str">
        <x:v>CASE-0944</x:v>
      </x:c>
      <x:c r="B107" s="22" t="str">
        <x:v>89-year-old male with no detected adjusted calcium abnormality. Adjusted calcium is 2.27 mmol/L. General adult presentation.</x:v>
      </x:c>
      <x:c r="C107" t="n">
        <x:v>89</x:v>
      </x:c>
      <x:c r="D107" t="str">
        <x:v>Male</x:v>
      </x:c>
      <x:c r="E107" t="str">
        <x:v>Not applicable</x:v>
      </x:c>
      <x:c r="F107" t="str">
        <x:v>Adjusted calcium</x:v>
      </x:c>
      <x:c r="G107" t="str">
        <x:v>No abnormality detected</x:v>
      </x:c>
      <x:c r="H107" t="n">
        <x:v>2.27</x:v>
      </x:c>
      <x:c r="I107" t="str">
        <x:v>mmol/L</x:v>
      </x:c>
      <x:c r="J107" s="22" t="str">
        <x:v>General adult presentation</x:v>
      </x:c>
      <x:c r="K107" s="22" t="str">
        <x:v>No</x:v>
      </x:c>
      <x:c r="L107" s="22" t="str">
        <x:v>No</x:v>
      </x:c>
      <x:c r="M107" s="22" t="n">
        <x:v>2.27</x:v>
      </x:c>
      <x:c r="N107" s="22" t="str">
        <x:v>None</x:v>
      </x:c>
      <x:c r="O107" s="22" t="str">
        <x:v>No</x:v>
      </x:c>
      <x:c r="P107" s="22" t="str">
        <x:v>No</x:v>
      </x:c>
      <x:c r="Q107" s="22" t="str">
        <x:v>Not applicable</x:v>
      </x:c>
      <x:c r="R107" s="22" t="str">
        <x:v>Not applicable</x:v>
      </x:c>
      <x:c r="S107" s="22" t="str">
        <x:v>No</x:v>
      </x:c>
      <x:c r="T107" s="22" t="str">
        <x:v>No</x:v>
      </x:c>
      <x:c r="U107" s="22" t="str">
        <x:v>No</x:v>
      </x:c>
      <x:c r="V107" s="22" t="str">
        <x:v>None reported</x:v>
      </x:c>
      <x:c r="W107" s="22" t="str">
        <x:v>No</x:v>
      </x:c>
      <x:c r="X107" s="22" t="str">
        <x:v>Euvolaemic</x:v>
      </x:c>
      <x:c r="Y107" s="22" t="n">
        <x:v>73.2</x:v>
      </x:c>
      <x:c r="Z107" s="22" t="str">
        <x:v>NICE-GLOBAL-ASSESS-001</x:v>
      </x:c>
      <x:c r="AA107" s="22" t="str">
        <x:v>General NICE assessment only</x:v>
      </x:c>
      <x:c r="AB107" s="22" t="str">
        <x:v>Routine review</x:v>
      </x:c>
      <x:c r="AC107" s="22" t="str">
        <x:v>No abnormality-specific management</x:v>
      </x:c>
      <x:c r="AD107" s="22" t="str">
        <x:v>No electrolyte abnormality is detected by the synthetic reference range; interpret the result with the full clinical picture.</x:v>
      </x:c>
      <x:c r="AE107" s="22" t="str">
        <x:v>Synthetic reference ranges are not NICE management thresholds.</x:v>
      </x:c>
      <x:c r="AF107" s="22" t="str">
        <x:v>NICE-CG174</x:v>
      </x:c>
      <x:c r="AG107" s="22" t="str">
        <x:v>1.1.1 and 1.2.2</x:v>
      </x:c>
      <x:c r="AH107" s="22" t="str">
        <x:v>Adjusted calcium reference interval adult laboratory interpretation</x:v>
      </x:c>
      <x:c r="AI107" s="22" t="str">
        <x:v>train</x:v>
      </x:c>
      <x:c r="AJ107" s="22" t="str">
        <x:v>Yes</x:v>
      </x:c>
      <x:c r="AK107" s="22" t="str">
        <x:v>Pending</x:v>
      </x:c>
    </x:row>
    <x:row r="108">
      <x:c r="A108" t="str">
        <x:v>CASE-0446</x:v>
      </x:c>
      <x:c r="B108" s="22" t="str">
        <x:v>30-year-old female with hypocalcaemia. Adjusted calcium is 1.94 mmol/L; baseline is 1.94 mmol/L. Context: General adult presentation. Symptoms: None reported. IV fluids: No; CKD stage: None; heart failure: No; AKI: No; dialysis: No; eGFR: 88.8 mL/min/1.73m².</x:v>
      </x:c>
      <x:c r="C108" t="n">
        <x:v>30</x:v>
      </x:c>
      <x:c r="D108" t="str">
        <x:v>Female</x:v>
      </x:c>
      <x:c r="E108" t="str">
        <x:v>Not pregnant</x:v>
      </x:c>
      <x:c r="F108" t="str">
        <x:v>Adjusted calcium</x:v>
      </x:c>
      <x:c r="G108" t="str">
        <x:v>Hypocalcaemia</x:v>
      </x:c>
      <x:c r="H108" t="n">
        <x:v>1.94</x:v>
      </x:c>
      <x:c r="I108" t="str">
        <x:v>mmol/L</x:v>
      </x:c>
      <x:c r="J108" s="22" t="str">
        <x:v>General adult presentation</x:v>
      </x:c>
      <x:c r="K108" s="22" t="str">
        <x:v>No</x:v>
      </x:c>
      <x:c r="L108" s="22" t="str">
        <x:v>No</x:v>
      </x:c>
      <x:c r="M108" s="22" t="n">
        <x:v>1.94</x:v>
      </x:c>
      <x:c r="N108" s="22" t="str">
        <x:v>None</x:v>
      </x:c>
      <x:c r="O108" s="22" t="str">
        <x:v>No</x:v>
      </x:c>
      <x:c r="P108" s="22" t="str">
        <x:v>No</x:v>
      </x:c>
      <x:c r="Q108" s="22" t="str">
        <x:v>Not applicable</x:v>
      </x:c>
      <x:c r="R108" s="22" t="str">
        <x:v>Not applicable</x:v>
      </x:c>
      <x:c r="S108" s="22" t="str">
        <x:v>No</x:v>
      </x:c>
      <x:c r="T108" s="22" t="str">
        <x:v>No</x:v>
      </x:c>
      <x:c r="U108" s="22" t="str">
        <x:v>No</x:v>
      </x:c>
      <x:c r="V108" s="22" t="str">
        <x:v>None reported</x:v>
      </x:c>
      <x:c r="W108" s="22" t="str">
        <x:v>No</x:v>
      </x:c>
      <x:c r="X108" s="22" t="str">
        <x:v>Euvolaemic</x:v>
      </x:c>
      <x:c r="Y108" s="22" t="n">
        <x:v>88.8</x:v>
      </x:c>
      <x:c r="Z108" s="22" t="str">
        <x:v>NICE-UNSUPPORTED-001</x:v>
      </x:c>
      <x:c r="AA108" s="22" t="str">
        <x:v>No definitive NICE-only management</x:v>
      </x:c>
      <x:c r="AB108" s="22" t="str">
        <x:v>Clinical review required</x:v>
      </x:c>
      <x:c r="AC108" s="22" t="str">
        <x:v>No definitive NICE-only management output</x:v>
      </x:c>
      <x:c r="AD108" s="22" t="str">
        <x:v>Do not generate treatment instructions. Display that an approved local protocol or specialist review is required.</x:v>
      </x:c>
      <x:c r="AE108" s="22" t="str">
        <x:v>This is a safety rule, not a treatment recommendation.</x:v>
      </x:c>
      <x:c r="AF108" s="22" t="str"/>
      <x:c r="AG108" s="22" t="str"/>
      <x:c r="AH108" s="22" t="str">
        <x:v>Hypocalcaemia adult General adult presentation guideline systematic review clinical review</x:v>
      </x:c>
      <x:c r="AI108" s="22" t="str">
        <x:v>train</x:v>
      </x:c>
      <x:c r="AJ108" s="22" t="str">
        <x:v>Yes</x:v>
      </x:c>
      <x:c r="AK108" s="22" t="str">
        <x:v>Pending</x:v>
      </x:c>
    </x:row>
    <x:row r="109">
      <x:c r="A109" t="str">
        <x:v>CASE-0322</x:v>
      </x:c>
      <x:c r="B109" s="22" t="str">
        <x:v>57-year-old male with hyperkalaemia. Potassium is 7.24 mmol/L; baseline is 6.77 mmol/L. Context: General adult presentation. Symptoms: weakness. IV fluids: No; CKD stage: None; heart failure: No; AKI: No; dialysis: No; eGFR: 92.1 mL/min/1.73m².</x:v>
      </x:c>
      <x:c r="C109" t="n">
        <x:v>57</x:v>
      </x:c>
      <x:c r="D109" t="str">
        <x:v>Male</x:v>
      </x:c>
      <x:c r="E109" t="str">
        <x:v>Not applicable</x:v>
      </x:c>
      <x:c r="F109" t="str">
        <x:v>Potassium</x:v>
      </x:c>
      <x:c r="G109" t="str">
        <x:v>Hyperkalaemia</x:v>
      </x:c>
      <x:c r="H109" t="n">
        <x:v>7.24</x:v>
      </x:c>
      <x:c r="I109" t="str">
        <x:v>mmol/L</x:v>
      </x:c>
      <x:c r="J109" s="22" t="str">
        <x:v>General adult presentation</x:v>
      </x:c>
      <x:c r="K109" s="22" t="str">
        <x:v>No</x:v>
      </x:c>
      <x:c r="L109" s="22" t="str">
        <x:v>No</x:v>
      </x:c>
      <x:c r="M109" s="22" t="n">
        <x:v>6.77</x:v>
      </x:c>
      <x:c r="N109" s="22" t="str">
        <x:v>None</x:v>
      </x:c>
      <x:c r="O109" s="22" t="str">
        <x:v>No</x:v>
      </x:c>
      <x:c r="P109" s="22" t="str">
        <x:v>No</x:v>
      </x:c>
      <x:c r="Q109" s="22" t="str">
        <x:v>Not applicable</x:v>
      </x:c>
      <x:c r="R109" s="22" t="str">
        <x:v>Not applicable</x:v>
      </x:c>
      <x:c r="S109" s="22" t="str">
        <x:v>No</x:v>
      </x:c>
      <x:c r="T109" s="22" t="str">
        <x:v>No</x:v>
      </x:c>
      <x:c r="U109" s="22" t="str">
        <x:v>No</x:v>
      </x:c>
      <x:c r="V109" s="22" t="str">
        <x:v>weakness</x:v>
      </x:c>
      <x:c r="W109" s="22" t="str">
        <x:v>No</x:v>
      </x:c>
      <x:c r="X109" s="22" t="str">
        <x:v>Hypervolaemic</x:v>
      </x:c>
      <x:c r="Y109" s="22" t="n">
        <x:v>92.1</x:v>
      </x:c>
      <x:c r="Z109" s="22" t="str">
        <x:v>NICE-UNSUPPORTED-001</x:v>
      </x:c>
      <x:c r="AA109" s="22" t="str">
        <x:v>No definitive NICE-only management</x:v>
      </x:c>
      <x:c r="AB109" s="22" t="str">
        <x:v>Clinical review required</x:v>
      </x:c>
      <x:c r="AC109" s="22" t="str">
        <x:v>No definitive NICE-only management output</x:v>
      </x:c>
      <x:c r="AD109" s="22" t="str">
        <x:v>Do not generate treatment instructions. Display that an approved local protocol or specialist review is required.</x:v>
      </x:c>
      <x:c r="AE109" s="22" t="str">
        <x:v>This is a safety rule, not a treatment recommendation.</x:v>
      </x:c>
      <x:c r="AF109" s="22" t="str"/>
      <x:c r="AG109" s="22" t="str"/>
      <x:c r="AH109" s="22" t="str">
        <x:v>Hyperkalaemia adult General adult presentation guideline systematic review clinical review</x:v>
      </x:c>
      <x:c r="AI109" s="22" t="str">
        <x:v>train</x:v>
      </x:c>
      <x:c r="AJ109" s="22" t="str">
        <x:v>Yes</x:v>
      </x:c>
      <x:c r="AK109" s="22" t="str">
        <x:v>Pending</x:v>
      </x:c>
    </x:row>
    <x:row r="110">
      <x:c r="A110" t="str">
        <x:v>CASE-0277</x:v>
      </x:c>
      <x:c r="B110" s="22" t="str">
        <x:v>55-year-old male with hypokalaemia. Potassium is 3.44 mmol/L; baseline is 2.76 mmol/L. Context: General adult presentation. Symptoms: None reported. IV fluids: No; CKD stage: None; heart failure: No; AKI: No; dialysis: No; eGFR: 17.9 mL/min/1.73m².</x:v>
      </x:c>
      <x:c r="C110" t="n">
        <x:v>55</x:v>
      </x:c>
      <x:c r="D110" t="str">
        <x:v>Male</x:v>
      </x:c>
      <x:c r="E110" t="str">
        <x:v>Not applicable</x:v>
      </x:c>
      <x:c r="F110" t="str">
        <x:v>Potassium</x:v>
      </x:c>
      <x:c r="G110" t="str">
        <x:v>Hypokalaemia</x:v>
      </x:c>
      <x:c r="H110" t="n">
        <x:v>3.44</x:v>
      </x:c>
      <x:c r="I110" t="str">
        <x:v>mmol/L</x:v>
      </x:c>
      <x:c r="J110" s="22" t="str">
        <x:v>General adult presentation</x:v>
      </x:c>
      <x:c r="K110" s="22" t="str">
        <x:v>No</x:v>
      </x:c>
      <x:c r="L110" s="22" t="str">
        <x:v>No</x:v>
      </x:c>
      <x:c r="M110" s="22" t="n">
        <x:v>2.76</x:v>
      </x:c>
      <x:c r="N110" s="22" t="str">
        <x:v>None</x:v>
      </x:c>
      <x:c r="O110" s="22" t="str">
        <x:v>No</x:v>
      </x:c>
      <x:c r="P110" s="22" t="str">
        <x:v>No</x:v>
      </x:c>
      <x:c r="Q110" s="22" t="str">
        <x:v>Not applicable</x:v>
      </x:c>
      <x:c r="R110" s="22" t="str">
        <x:v>Not applicable</x:v>
      </x:c>
      <x:c r="S110" s="22" t="str">
        <x:v>No</x:v>
      </x:c>
      <x:c r="T110" s="22" t="str">
        <x:v>No</x:v>
      </x:c>
      <x:c r="U110" s="22" t="str">
        <x:v>No</x:v>
      </x:c>
      <x:c r="V110" s="22" t="str">
        <x:v>None reported</x:v>
      </x:c>
      <x:c r="W110" s="22" t="str">
        <x:v>No</x:v>
      </x:c>
      <x:c r="X110" s="22" t="str">
        <x:v>Uncertain</x:v>
      </x:c>
      <x:c r="Y110" s="22" t="n">
        <x:v>17.9</x:v>
      </x:c>
      <x:c r="Z110" s="22" t="str">
        <x:v>NICE-UNSUPPORTED-001</x:v>
      </x:c>
      <x:c r="AA110" s="22" t="str">
        <x:v>No definitive NICE-only management</x:v>
      </x:c>
      <x:c r="AB110" s="22" t="str">
        <x:v>Clinical review required</x:v>
      </x:c>
      <x:c r="AC110" s="22" t="str">
        <x:v>No definitive NICE-only management output</x:v>
      </x:c>
      <x:c r="AD110" s="22" t="str">
        <x:v>Do not generate treatment instructions. Display that an approved local protocol or specialist review is required.</x:v>
      </x:c>
      <x:c r="AE110" s="22" t="str">
        <x:v>This is a safety rule, not a treatment recommendation.</x:v>
      </x:c>
      <x:c r="AF110" s="22" t="str"/>
      <x:c r="AG110" s="22" t="str"/>
      <x:c r="AH110" s="22" t="str">
        <x:v>Hypokalaemia adult General adult presentation guideline systematic review clinical review</x:v>
      </x:c>
      <x:c r="AI110" s="22" t="str">
        <x:v>train</x:v>
      </x:c>
      <x:c r="AJ110" s="22" t="str">
        <x:v>Yes</x:v>
      </x:c>
      <x:c r="AK110" s="22" t="str">
        <x:v>Pending</x:v>
      </x:c>
    </x:row>
    <x:row r="111">
      <x:c r="A111" t="str">
        <x:v>CASE-0356</x:v>
      </x:c>
      <x:c r="B111" s="22" t="str">
        <x:v>48-year-old female with hyperkalaemia. Potassium is 6.75 mmol/L; baseline is 5.62 mmol/L. Context: CKD on RAAS antagonist. Symptoms: paraesthesia. IV fluids: No; CKD stage: 3a; heart failure: No; AKI: No; dialysis: No; eGFR: 50.0 mL/min/1.73m².</x:v>
      </x:c>
      <x:c r="C111" t="n">
        <x:v>48</x:v>
      </x:c>
      <x:c r="D111" t="str">
        <x:v>Female</x:v>
      </x:c>
      <x:c r="E111" t="str">
        <x:v>Not applicable</x:v>
      </x:c>
      <x:c r="F111" t="str">
        <x:v>Potassium</x:v>
      </x:c>
      <x:c r="G111" t="str">
        <x:v>Hyperkalaemia</x:v>
      </x:c>
      <x:c r="H111" t="n">
        <x:v>6.75</x:v>
      </x:c>
      <x:c r="I111" t="str">
        <x:v>mmol/L</x:v>
      </x:c>
      <x:c r="J111" s="22" t="str">
        <x:v>CKD on RAAS antagonist</x:v>
      </x:c>
      <x:c r="K111" s="22" t="str">
        <x:v>No</x:v>
      </x:c>
      <x:c r="L111" s="22" t="str">
        <x:v>No</x:v>
      </x:c>
      <x:c r="M111" s="22" t="n">
        <x:v>5.62</x:v>
      </x:c>
      <x:c r="N111" s="22" t="str">
        <x:v>3a</x:v>
      </x:c>
      <x:c r="O111" s="22" t="str">
        <x:v>No</x:v>
      </x:c>
      <x:c r="P111" s="22" t="str">
        <x:v>No</x:v>
      </x:c>
      <x:c r="Q111" s="22" t="str">
        <x:v>Taking</x:v>
      </x:c>
      <x:c r="R111" s="22" t="str">
        <x:v>Yes</x:v>
      </x:c>
      <x:c r="S111" s="22" t="str">
        <x:v>No</x:v>
      </x:c>
      <x:c r="T111" s="22" t="str">
        <x:v>No</x:v>
      </x:c>
      <x:c r="U111" s="22" t="str">
        <x:v>No</x:v>
      </x:c>
      <x:c r="V111" s="22" t="str">
        <x:v>paraesthesia</x:v>
      </x:c>
      <x:c r="W111" s="22" t="str">
        <x:v>No</x:v>
      </x:c>
      <x:c r="X111" s="22" t="str">
        <x:v>Euvolaemic</x:v>
      </x:c>
      <x:c r="Y111" s="22" t="n">
        <x:v>50</x:v>
      </x:c>
      <x:c r="Z111" s="22" t="str">
        <x:v>NICE-K-CKD-STOP-001</x:v>
      </x:c>
      <x:c r="AA111" s="22" t="str">
        <x:v>Specific context-based NICE guidance</x:v>
      </x:c>
      <x:c r="AB111" s="22" t="str">
        <x:v>Urgent medication review</x:v>
      </x:c>
      <x:c r="AC111" s="22" t="str">
        <x:v>Specific NICE medication guidance</x:v>
      </x:c>
      <x:c r="AD111" s="22" t="str">
        <x:v>Stop the renin–angiotensin system antagonist when the stated NICE conditions are met.</x:v>
      </x:c>
      <x:c r="AE111" s="22" t="str">
        <x:v>Must verify contributing medicines and the complete clinical context.</x:v>
      </x:c>
      <x:c r="AF111" s="22" t="str">
        <x:v>NICE-NG203</x:v>
      </x:c>
      <x:c r="AG111" s="22" t="str">
        <x:v>1.6.17 to 1.6.19</x:v>
      </x:c>
      <x:c r="AH111" s="22" t="str">
        <x:v>Hyperkalaemia adult CKD on RAAS antagonist guideline systematic review clinical review</x:v>
      </x:c>
      <x:c r="AI111" s="22" t="str">
        <x:v>train</x:v>
      </x:c>
      <x:c r="AJ111" s="22" t="str">
        <x:v>Yes</x:v>
      </x:c>
      <x:c r="AK111" s="22" t="str">
        <x:v>Pending</x:v>
      </x:c>
    </x:row>
    <x:row r="112">
      <x:c r="A112" t="str">
        <x:v>CASE-0258</x:v>
      </x:c>
      <x:c r="B112" s="22" t="str">
        <x:v>85-year-old female with hypokalaemia. Potassium is 3.16 mmol/L; baseline is 2.5 mmol/L. Context: General adult presentation. Symptoms: weakness. IV fluids: No; CKD stage: None; heart failure: No; AKI: No; dialysis: No; eGFR: 110.2 mL/min/1.73m².</x:v>
      </x:c>
      <x:c r="C112" t="n">
        <x:v>85</x:v>
      </x:c>
      <x:c r="D112" t="str">
        <x:v>Female</x:v>
      </x:c>
      <x:c r="E112" t="str">
        <x:v>Not applicable</x:v>
      </x:c>
      <x:c r="F112" t="str">
        <x:v>Potassium</x:v>
      </x:c>
      <x:c r="G112" t="str">
        <x:v>Hypokalaemia</x:v>
      </x:c>
      <x:c r="H112" t="n">
        <x:v>3.16</x:v>
      </x:c>
      <x:c r="I112" t="str">
        <x:v>mmol/L</x:v>
      </x:c>
      <x:c r="J112" s="22" t="str">
        <x:v>General adult presentation</x:v>
      </x:c>
      <x:c r="K112" s="22" t="str">
        <x:v>No</x:v>
      </x:c>
      <x:c r="L112" s="22" t="str">
        <x:v>No</x:v>
      </x:c>
      <x:c r="M112" s="22" t="n">
        <x:v>2.5</x:v>
      </x:c>
      <x:c r="N112" s="22" t="str">
        <x:v>None</x:v>
      </x:c>
      <x:c r="O112" s="22" t="str">
        <x:v>No</x:v>
      </x:c>
      <x:c r="P112" s="22" t="str">
        <x:v>No</x:v>
      </x:c>
      <x:c r="Q112" s="22" t="str">
        <x:v>Not applicable</x:v>
      </x:c>
      <x:c r="R112" s="22" t="str">
        <x:v>Not applicable</x:v>
      </x:c>
      <x:c r="S112" s="22" t="str">
        <x:v>No</x:v>
      </x:c>
      <x:c r="T112" s="22" t="str">
        <x:v>No</x:v>
      </x:c>
      <x:c r="U112" s="22" t="str">
        <x:v>No</x:v>
      </x:c>
      <x:c r="V112" s="22" t="str">
        <x:v>weakness</x:v>
      </x:c>
      <x:c r="W112" s="22" t="str">
        <x:v>No</x:v>
      </x:c>
      <x:c r="X112" s="22" t="str">
        <x:v>Hypervolaemic</x:v>
      </x:c>
      <x:c r="Y112" s="22" t="n">
        <x:v>110.2</x:v>
      </x:c>
      <x:c r="Z112" s="22" t="str">
        <x:v>NICE-UNSUPPORTED-001</x:v>
      </x:c>
      <x:c r="AA112" s="22" t="str">
        <x:v>No definitive NICE-only management</x:v>
      </x:c>
      <x:c r="AB112" s="22" t="str">
        <x:v>Clinical review required</x:v>
      </x:c>
      <x:c r="AC112" s="22" t="str">
        <x:v>No definitive NICE-only management output</x:v>
      </x:c>
      <x:c r="AD112" s="22" t="str">
        <x:v>Do not generate treatment instructions. Display that an approved local protocol or specialist review is required.</x:v>
      </x:c>
      <x:c r="AE112" s="22" t="str">
        <x:v>This is a safety rule, not a treatment recommendation.</x:v>
      </x:c>
      <x:c r="AF112" s="22" t="str"/>
      <x:c r="AG112" s="22" t="str"/>
      <x:c r="AH112" s="22" t="str">
        <x:v>Hypokalaemia adult General adult presentation guideline systematic review clinical review</x:v>
      </x:c>
      <x:c r="AI112" s="22" t="str">
        <x:v>train</x:v>
      </x:c>
      <x:c r="AJ112" s="22" t="str">
        <x:v>Yes</x:v>
      </x:c>
      <x:c r="AK112" s="22" t="str">
        <x:v>Pending</x:v>
      </x:c>
    </x:row>
    <x:row r="113">
      <x:c r="A113" t="str">
        <x:v>CASE-0742</x:v>
      </x:c>
      <x:c r="B113" s="22" t="str">
        <x:v>72-year-old male with hypermagnesaemia. Magnesium is 1.26 mmol/L; baseline is 2.99 mmol/L. Context: General adult presentation. Symptoms: confusion. IV fluids: No; CKD stage: None; heart failure: No; AKI: No; dialysis: No; eGFR: 88.7 mL/min/1.73m².</x:v>
      </x:c>
      <x:c r="C113" t="n">
        <x:v>72</x:v>
      </x:c>
      <x:c r="D113" t="str">
        <x:v>Male</x:v>
      </x:c>
      <x:c r="E113" t="str">
        <x:v>Not applicable</x:v>
      </x:c>
      <x:c r="F113" t="str">
        <x:v>Magnesium</x:v>
      </x:c>
      <x:c r="G113" t="str">
        <x:v>Hypermagnesaemia</x:v>
      </x:c>
      <x:c r="H113" t="n">
        <x:v>1.26</x:v>
      </x:c>
      <x:c r="I113" t="str">
        <x:v>mmol/L</x:v>
      </x:c>
      <x:c r="J113" s="22" t="str">
        <x:v>General adult presentation</x:v>
      </x:c>
      <x:c r="K113" s="22" t="str">
        <x:v>No</x:v>
      </x:c>
      <x:c r="L113" s="22" t="str">
        <x:v>No</x:v>
      </x:c>
      <x:c r="M113" s="22" t="n">
        <x:v>2.99</x:v>
      </x:c>
      <x:c r="N113" s="22" t="str">
        <x:v>None</x:v>
      </x:c>
      <x:c r="O113" s="22" t="str">
        <x:v>No</x:v>
      </x:c>
      <x:c r="P113" s="22" t="str">
        <x:v>No</x:v>
      </x:c>
      <x:c r="Q113" s="22" t="str">
        <x:v>Not applicable</x:v>
      </x:c>
      <x:c r="R113" s="22" t="str">
        <x:v>Not applicable</x:v>
      </x:c>
      <x:c r="S113" s="22" t="str">
        <x:v>No</x:v>
      </x:c>
      <x:c r="T113" s="22" t="str">
        <x:v>No</x:v>
      </x:c>
      <x:c r="U113" s="22" t="str">
        <x:v>No</x:v>
      </x:c>
      <x:c r="V113" s="22" t="str">
        <x:v>confusion</x:v>
      </x:c>
      <x:c r="W113" s="22" t="str">
        <x:v>No</x:v>
      </x:c>
      <x:c r="X113" s="22" t="str">
        <x:v>Euvolaemic</x:v>
      </x:c>
      <x:c r="Y113" s="22" t="n">
        <x:v>88.7</x:v>
      </x:c>
      <x:c r="Z113" s="22" t="str">
        <x:v>NICE-UNSUPPORTED-001</x:v>
      </x:c>
      <x:c r="AA113" s="22" t="str">
        <x:v>No definitive NICE-only management</x:v>
      </x:c>
      <x:c r="AB113" s="22" t="str">
        <x:v>Clinical review required</x:v>
      </x:c>
      <x:c r="AC113" s="22" t="str">
        <x:v>No definitive NICE-only management output</x:v>
      </x:c>
      <x:c r="AD113" s="22" t="str">
        <x:v>Do not generate treatment instructions. Display that an approved local protocol or specialist review is required.</x:v>
      </x:c>
      <x:c r="AE113" s="22" t="str">
        <x:v>This is a safety rule, not a treatment recommendation.</x:v>
      </x:c>
      <x:c r="AF113" s="22" t="str"/>
      <x:c r="AG113" s="22" t="str"/>
      <x:c r="AH113" s="22" t="str">
        <x:v>Hypermagnesaemia adult General adult presentation guideline systematic review clinical review</x:v>
      </x:c>
      <x:c r="AI113" s="22" t="str">
        <x:v>train</x:v>
      </x:c>
      <x:c r="AJ113" s="22" t="str">
        <x:v>Yes</x:v>
      </x:c>
      <x:c r="AK113" s="22" t="str">
        <x:v>Pending</x:v>
      </x:c>
    </x:row>
    <x:row r="114">
      <x:c r="A114" t="str">
        <x:v>CASE-0065</x:v>
      </x:c>
      <x:c r="B114" s="22" t="str">
        <x:v>39-year-old male with hyponatraemia. Sodium is 119.9 mmol/L; baseline is 139.9 mmol/L. Context: IV-fluid-related. Symptoms: confusion. IV fluids: Yes; CKD stage: None; heart failure: No; AKI: No; dialysis: No; eGFR: 78.1 mL/min/1.73m².</x:v>
      </x:c>
      <x:c r="C114" t="n">
        <x:v>39</x:v>
      </x:c>
      <x:c r="D114" t="str">
        <x:v>Male</x:v>
      </x:c>
      <x:c r="E114" t="str">
        <x:v>Not applicable</x:v>
      </x:c>
      <x:c r="F114" t="str">
        <x:v>Sodium</x:v>
      </x:c>
      <x:c r="G114" t="str">
        <x:v>Hyponatraemia</x:v>
      </x:c>
      <x:c r="H114" t="n">
        <x:v>119.9</x:v>
      </x:c>
      <x:c r="I114" t="str">
        <x:v>mmol/L</x:v>
      </x:c>
      <x:c r="J114" s="22" t="str">
        <x:v>IV-fluid-related</x:v>
      </x:c>
      <x:c r="K114" s="22" t="str">
        <x:v>Yes</x:v>
      </x:c>
      <x:c r="L114" s="22" t="str">
        <x:v>No</x:v>
      </x:c>
      <x:c r="M114" s="22" t="n">
        <x:v>139.9</x:v>
      </x:c>
      <x:c r="N114" s="22" t="str">
        <x:v>None</x:v>
      </x:c>
      <x:c r="O114" s="22" t="str">
        <x:v>No</x:v>
      </x:c>
      <x:c r="P114" s="22" t="str">
        <x:v>No</x:v>
      </x:c>
      <x:c r="Q114" s="22" t="str">
        <x:v>Not applicable</x:v>
      </x:c>
      <x:c r="R114" s="22" t="str">
        <x:v>Not applicable</x:v>
      </x:c>
      <x:c r="S114" s="22" t="str">
        <x:v>No</x:v>
      </x:c>
      <x:c r="T114" s="22" t="str">
        <x:v>No</x:v>
      </x:c>
      <x:c r="U114" s="22" t="str">
        <x:v>No</x:v>
      </x:c>
      <x:c r="V114" s="22" t="str">
        <x:v>confusion</x:v>
      </x:c>
      <x:c r="W114" s="22" t="str">
        <x:v>No</x:v>
      </x:c>
      <x:c r="X114" s="22" t="str">
        <x:v>Hypervolaemic</x:v>
      </x:c>
      <x:c r="Y114" s="22" t="n">
        <x:v>78.1</x:v>
      </x:c>
      <x:c r="Z114" s="22" t="str">
        <x:v>NICE-NA-HYPO-IV-001</x:v>
      </x:c>
      <x:c r="AA114" s="22" t="str">
        <x:v>NICE detection / reassessment / escalation</x:v>
      </x:c>
      <x:c r="AB114" s="22" t="str">
        <x:v>Urgent review</x:v>
      </x:c>
      <x:c r="AC114" s="22" t="str">
        <x:v>NICE detection, reassessment and escalation</x:v>
      </x:c>
      <x:c r="AD114" s="22" t="str">
        <x:v>Treat as possible IV-fluid mismanagement: reassess the fluid prescription and monitoring plan, and seek expert help for a complex imbalance.</x:v>
      </x:c>
      <x:c r="AE114" s="22" t="str">
        <x:v>No definitive sodium-correction regimen is provided by CG174.</x:v>
      </x:c>
      <x:c r="AF114" s="22" t="str">
        <x:v>NICE-CG174</x:v>
      </x:c>
      <x:c r="AG114" s="22" t="str">
        <x:v>1.2.4, 1.5.1, 1.5.2, Table 1</x:v>
      </x:c>
      <x:c r="AH114" s="22" t="str">
        <x:v>Hyponatraemia adult IV-fluid-related guideline systematic review clinical review</x:v>
      </x:c>
      <x:c r="AI114" s="22" t="str">
        <x:v>train</x:v>
      </x:c>
      <x:c r="AJ114" s="22" t="str">
        <x:v>Yes</x:v>
      </x:c>
      <x:c r="AK114" s="22" t="str">
        <x:v>Pending</x:v>
      </x:c>
    </x:row>
    <x:row r="115">
      <x:c r="A115" t="str">
        <x:v>CASE-0787</x:v>
      </x:c>
      <x:c r="B115" s="22" t="str">
        <x:v>51-year-old female with hypermagnesaemia. Magnesium is 3.16 mmol/L; baseline is 3.47 mmol/L. Context: General adult presentation. Symptoms: weakness, confusion. IV fluids: No; CKD stage: None; heart failure: No; AKI: No; dialysis: No; eGFR: 93.2 mL/min/1.73m².</x:v>
      </x:c>
      <x:c r="C115" t="n">
        <x:v>51</x:v>
      </x:c>
      <x:c r="D115" t="str">
        <x:v>Female</x:v>
      </x:c>
      <x:c r="E115" t="str">
        <x:v>Not applicable</x:v>
      </x:c>
      <x:c r="F115" t="str">
        <x:v>Magnesium</x:v>
      </x:c>
      <x:c r="G115" t="str">
        <x:v>Hypermagnesaemia</x:v>
      </x:c>
      <x:c r="H115" t="n">
        <x:v>3.16</x:v>
      </x:c>
      <x:c r="I115" t="str">
        <x:v>mmol/L</x:v>
      </x:c>
      <x:c r="J115" s="22" t="str">
        <x:v>General adult presentation</x:v>
      </x:c>
      <x:c r="K115" s="22" t="str">
        <x:v>No</x:v>
      </x:c>
      <x:c r="L115" s="22" t="str">
        <x:v>No</x:v>
      </x:c>
      <x:c r="M115" s="22" t="n">
        <x:v>3.47</x:v>
      </x:c>
      <x:c r="N115" s="22" t="str">
        <x:v>None</x:v>
      </x:c>
      <x:c r="O115" s="22" t="str">
        <x:v>No</x:v>
      </x:c>
      <x:c r="P115" s="22" t="str">
        <x:v>No</x:v>
      </x:c>
      <x:c r="Q115" s="22" t="str">
        <x:v>Not applicable</x:v>
      </x:c>
      <x:c r="R115" s="22" t="str">
        <x:v>Not applicable</x:v>
      </x:c>
      <x:c r="S115" s="22" t="str">
        <x:v>No</x:v>
      </x:c>
      <x:c r="T115" s="22" t="str">
        <x:v>No</x:v>
      </x:c>
      <x:c r="U115" s="22" t="str">
        <x:v>No</x:v>
      </x:c>
      <x:c r="V115" s="22" t="str">
        <x:v>weakness, confusion</x:v>
      </x:c>
      <x:c r="W115" s="22" t="str">
        <x:v>No</x:v>
      </x:c>
      <x:c r="X115" s="22" t="str">
        <x:v>Uncertain</x:v>
      </x:c>
      <x:c r="Y115" s="22" t="n">
        <x:v>93.2</x:v>
      </x:c>
      <x:c r="Z115" s="22" t="str">
        <x:v>NICE-UNSUPPORTED-001</x:v>
      </x:c>
      <x:c r="AA115" s="22" t="str">
        <x:v>No definitive NICE-only management</x:v>
      </x:c>
      <x:c r="AB115" s="22" t="str">
        <x:v>Clinical review required</x:v>
      </x:c>
      <x:c r="AC115" s="22" t="str">
        <x:v>No definitive NICE-only management output</x:v>
      </x:c>
      <x:c r="AD115" s="22" t="str">
        <x:v>Do not generate treatment instructions. Display that an approved local protocol or specialist review is required.</x:v>
      </x:c>
      <x:c r="AE115" s="22" t="str">
        <x:v>This is a safety rule, not a treatment recommendation.</x:v>
      </x:c>
      <x:c r="AF115" s="22" t="str"/>
      <x:c r="AG115" s="22" t="str"/>
      <x:c r="AH115" s="22" t="str">
        <x:v>Hypermagnesaemia adult General adult presentation guideline systematic review clinical review</x:v>
      </x:c>
      <x:c r="AI115" s="22" t="str">
        <x:v>validation</x:v>
      </x:c>
      <x:c r="AJ115" s="22" t="str">
        <x:v>Yes</x:v>
      </x:c>
      <x:c r="AK115" s="22" t="str">
        <x:v>Pending</x:v>
      </x:c>
    </x:row>
    <x:row r="116">
      <x:c r="A116" t="str">
        <x:v>CASE-0968</x:v>
      </x:c>
      <x:c r="B116" s="22" t="str">
        <x:v>84-year-old female with no detected magnesium abnormality. Magnesium is 0.99 mmol/L. General adult presentation.</x:v>
      </x:c>
      <x:c r="C116" t="n">
        <x:v>84</x:v>
      </x:c>
      <x:c r="D116" t="str">
        <x:v>Female</x:v>
      </x:c>
      <x:c r="E116" t="str">
        <x:v>Not applicable</x:v>
      </x:c>
      <x:c r="F116" t="str">
        <x:v>Magnesium</x:v>
      </x:c>
      <x:c r="G116" t="str">
        <x:v>No abnormality detected</x:v>
      </x:c>
      <x:c r="H116" t="n">
        <x:v>0.99</x:v>
      </x:c>
      <x:c r="I116" t="str">
        <x:v>mmol/L</x:v>
      </x:c>
      <x:c r="J116" s="22" t="str">
        <x:v>General adult presentation</x:v>
      </x:c>
      <x:c r="K116" s="22" t="str">
        <x:v>No</x:v>
      </x:c>
      <x:c r="L116" s="22" t="str">
        <x:v>No</x:v>
      </x:c>
      <x:c r="M116" s="22" t="n">
        <x:v>0.99</x:v>
      </x:c>
      <x:c r="N116" s="22" t="str">
        <x:v>None</x:v>
      </x:c>
      <x:c r="O116" s="22" t="str">
        <x:v>No</x:v>
      </x:c>
      <x:c r="P116" s="22" t="str">
        <x:v>No</x:v>
      </x:c>
      <x:c r="Q116" s="22" t="str">
        <x:v>Not applicable</x:v>
      </x:c>
      <x:c r="R116" s="22" t="str">
        <x:v>Not applicable</x:v>
      </x:c>
      <x:c r="S116" s="22" t="str">
        <x:v>No</x:v>
      </x:c>
      <x:c r="T116" s="22" t="str">
        <x:v>No</x:v>
      </x:c>
      <x:c r="U116" s="22" t="str">
        <x:v>No</x:v>
      </x:c>
      <x:c r="V116" s="22" t="str">
        <x:v>None reported</x:v>
      </x:c>
      <x:c r="W116" s="22" t="str">
        <x:v>No</x:v>
      </x:c>
      <x:c r="X116" s="22" t="str">
        <x:v>Euvolaemic</x:v>
      </x:c>
      <x:c r="Y116" s="22" t="n">
        <x:v>69.4</x:v>
      </x:c>
      <x:c r="Z116" s="22" t="str">
        <x:v>NICE-GLOBAL-ASSESS-001</x:v>
      </x:c>
      <x:c r="AA116" s="22" t="str">
        <x:v>General NICE assessment only</x:v>
      </x:c>
      <x:c r="AB116" s="22" t="str">
        <x:v>Routine review</x:v>
      </x:c>
      <x:c r="AC116" s="22" t="str">
        <x:v>No abnormality-specific management</x:v>
      </x:c>
      <x:c r="AD116" s="22" t="str">
        <x:v>No electrolyte abnormality is detected by the synthetic reference range; interpret the result with the full clinical picture.</x:v>
      </x:c>
      <x:c r="AE116" s="22" t="str">
        <x:v>Synthetic reference ranges are not NICE management thresholds.</x:v>
      </x:c>
      <x:c r="AF116" s="22" t="str">
        <x:v>NICE-CG174</x:v>
      </x:c>
      <x:c r="AG116" s="22" t="str">
        <x:v>1.1.1 and 1.2.2</x:v>
      </x:c>
      <x:c r="AH116" s="22" t="str">
        <x:v>Magnesium reference interval adult laboratory interpretation</x:v>
      </x:c>
      <x:c r="AI116" s="22" t="str">
        <x:v>validation</x:v>
      </x:c>
      <x:c r="AJ116" s="22" t="str">
        <x:v>Yes</x:v>
      </x:c>
      <x:c r="AK116" s="22" t="str">
        <x:v>Pending</x:v>
      </x:c>
    </x:row>
    <x:row r="117">
      <x:c r="A117" t="str">
        <x:v>CASE-0712</x:v>
      </x:c>
      <x:c r="B117" s="22" t="str">
        <x:v>82-year-old female with hypermagnesaemia. Magnesium is 3.62 mmol/L; baseline is 3.96 mmol/L. Context: General adult presentation. Symptoms: reduced reflexes, confusion. IV fluids: No; CKD stage: None; heart failure: No; AKI: No; dialysis: No; eGFR: 77.2 mL/min/1.73m².</x:v>
      </x:c>
      <x:c r="C117" t="n">
        <x:v>82</x:v>
      </x:c>
      <x:c r="D117" t="str">
        <x:v>Female</x:v>
      </x:c>
      <x:c r="E117" t="str">
        <x:v>Not applicable</x:v>
      </x:c>
      <x:c r="F117" t="str">
        <x:v>Magnesium</x:v>
      </x:c>
      <x:c r="G117" t="str">
        <x:v>Hypermagnesaemia</x:v>
      </x:c>
      <x:c r="H117" t="n">
        <x:v>3.62</x:v>
      </x:c>
      <x:c r="I117" t="str">
        <x:v>mmol/L</x:v>
      </x:c>
      <x:c r="J117" s="22" t="str">
        <x:v>General adult presentation</x:v>
      </x:c>
      <x:c r="K117" s="22" t="str">
        <x:v>No</x:v>
      </x:c>
      <x:c r="L117" s="22" t="str">
        <x:v>No</x:v>
      </x:c>
      <x:c r="M117" s="22" t="n">
        <x:v>3.96</x:v>
      </x:c>
      <x:c r="N117" s="22" t="str">
        <x:v>None</x:v>
      </x:c>
      <x:c r="O117" s="22" t="str">
        <x:v>No</x:v>
      </x:c>
      <x:c r="P117" s="22" t="str">
        <x:v>No</x:v>
      </x:c>
      <x:c r="Q117" s="22" t="str">
        <x:v>Not applicable</x:v>
      </x:c>
      <x:c r="R117" s="22" t="str">
        <x:v>Not applicable</x:v>
      </x:c>
      <x:c r="S117" s="22" t="str">
        <x:v>No</x:v>
      </x:c>
      <x:c r="T117" s="22" t="str">
        <x:v>No</x:v>
      </x:c>
      <x:c r="U117" s="22" t="str">
        <x:v>No</x:v>
      </x:c>
      <x:c r="V117" s="22" t="str">
        <x:v>reduced reflexes, confusion</x:v>
      </x:c>
      <x:c r="W117" s="22" t="str">
        <x:v>No</x:v>
      </x:c>
      <x:c r="X117" s="22" t="str">
        <x:v>Uncertain</x:v>
      </x:c>
      <x:c r="Y117" s="22" t="n">
        <x:v>77.2</x:v>
      </x:c>
      <x:c r="Z117" s="22" t="str">
        <x:v>NICE-UNSUPPORTED-001</x:v>
      </x:c>
      <x:c r="AA117" s="22" t="str">
        <x:v>No definitive NICE-only management</x:v>
      </x:c>
      <x:c r="AB117" s="22" t="str">
        <x:v>Clinical review required</x:v>
      </x:c>
      <x:c r="AC117" s="22" t="str">
        <x:v>No definitive NICE-only management output</x:v>
      </x:c>
      <x:c r="AD117" s="22" t="str">
        <x:v>Do not generate treatment instructions. Display that an approved local protocol or specialist review is required.</x:v>
      </x:c>
      <x:c r="AE117" s="22" t="str">
        <x:v>This is a safety rule, not a treatment recommendation.</x:v>
      </x:c>
      <x:c r="AF117" s="22" t="str"/>
      <x:c r="AG117" s="22" t="str"/>
      <x:c r="AH117" s="22" t="str">
        <x:v>Hypermagnesaemia adult General adult presentation guideline systematic review clinical review</x:v>
      </x:c>
      <x:c r="AI117" s="22" t="str">
        <x:v>validation</x:v>
      </x:c>
      <x:c r="AJ117" s="22" t="str">
        <x:v>Yes</x:v>
      </x:c>
      <x:c r="AK117" s="22" t="str">
        <x:v>Pending</x:v>
      </x:c>
    </x:row>
    <x:row r="118">
      <x:c r="A118" t="str">
        <x:v>CASE-0705</x:v>
      </x:c>
      <x:c r="B118" s="22" t="str">
        <x:v>88-year-old male with hypermagnesaemia. Magnesium is 3.49 mmol/L; baseline is 2.38 mmol/L. Context: General adult presentation. Symptoms: nausea. IV fluids: No; CKD stage: None; heart failure: No; AKI: No; dialysis: No; eGFR: 25.2 mL/min/1.73m².</x:v>
      </x:c>
      <x:c r="C118" t="n">
        <x:v>88</x:v>
      </x:c>
      <x:c r="D118" t="str">
        <x:v>Male</x:v>
      </x:c>
      <x:c r="E118" t="str">
        <x:v>Not applicable</x:v>
      </x:c>
      <x:c r="F118" t="str">
        <x:v>Magnesium</x:v>
      </x:c>
      <x:c r="G118" t="str">
        <x:v>Hypermagnesaemia</x:v>
      </x:c>
      <x:c r="H118" t="n">
        <x:v>3.49</x:v>
      </x:c>
      <x:c r="I118" t="str">
        <x:v>mmol/L</x:v>
      </x:c>
      <x:c r="J118" s="22" t="str">
        <x:v>General adult presentation</x:v>
      </x:c>
      <x:c r="K118" s="22" t="str">
        <x:v>No</x:v>
      </x:c>
      <x:c r="L118" s="22" t="str">
        <x:v>No</x:v>
      </x:c>
      <x:c r="M118" s="22" t="n">
        <x:v>2.38</x:v>
      </x:c>
      <x:c r="N118" s="22" t="str">
        <x:v>None</x:v>
      </x:c>
      <x:c r="O118" s="22" t="str">
        <x:v>No</x:v>
      </x:c>
      <x:c r="P118" s="22" t="str">
        <x:v>No</x:v>
      </x:c>
      <x:c r="Q118" s="22" t="str">
        <x:v>Not applicable</x:v>
      </x:c>
      <x:c r="R118" s="22" t="str">
        <x:v>Not applicable</x:v>
      </x:c>
      <x:c r="S118" s="22" t="str">
        <x:v>No</x:v>
      </x:c>
      <x:c r="T118" s="22" t="str">
        <x:v>No</x:v>
      </x:c>
      <x:c r="U118" s="22" t="str">
        <x:v>No</x:v>
      </x:c>
      <x:c r="V118" s="22" t="str">
        <x:v>nausea</x:v>
      </x:c>
      <x:c r="W118" s="22" t="str">
        <x:v>No</x:v>
      </x:c>
      <x:c r="X118" s="22" t="str">
        <x:v>Uncertain</x:v>
      </x:c>
      <x:c r="Y118" s="22" t="n">
        <x:v>25.2</x:v>
      </x:c>
      <x:c r="Z118" s="22" t="str">
        <x:v>NICE-UNSUPPORTED-001</x:v>
      </x:c>
      <x:c r="AA118" s="22" t="str">
        <x:v>No definitive NICE-only management</x:v>
      </x:c>
      <x:c r="AB118" s="22" t="str">
        <x:v>Clinical review required</x:v>
      </x:c>
      <x:c r="AC118" s="22" t="str">
        <x:v>No definitive NICE-only management output</x:v>
      </x:c>
      <x:c r="AD118" s="22" t="str">
        <x:v>Do not generate treatment instructions. Display that an approved local protocol or specialist review is required.</x:v>
      </x:c>
      <x:c r="AE118" s="22" t="str">
        <x:v>This is a safety rule, not a treatment recommendation.</x:v>
      </x:c>
      <x:c r="AF118" s="22" t="str"/>
      <x:c r="AG118" s="22" t="str"/>
      <x:c r="AH118" s="22" t="str">
        <x:v>Hypermagnesaemia adult General adult presentation guideline systematic review clinical review</x:v>
      </x:c>
      <x:c r="AI118" s="22" t="str">
        <x:v>test</x:v>
      </x:c>
      <x:c r="AJ118" s="22" t="str">
        <x:v>Yes</x:v>
      </x:c>
      <x:c r="AK118" s="22" t="str">
        <x:v>Pending</x:v>
      </x:c>
    </x:row>
    <x:row r="119">
      <x:c r="A119" t="str">
        <x:v>CASE-0524</x:v>
      </x:c>
      <x:c r="B119" s="22" t="str">
        <x:v>45-year-old male with hypercalcaemia. Adjusted calcium is 2.88 mmol/L; baseline is 3.28 mmol/L. Context: Confirmed primary hyperparathyroidism. Symptoms: None reported. IV fluids: No; CKD stage: None; heart failure: No; AKI: No; dialysis: No; eGFR: 33.5 mL/min/1.73m².</x:v>
      </x:c>
      <x:c r="C119" t="n">
        <x:v>45</x:v>
      </x:c>
      <x:c r="D119" t="str">
        <x:v>Male</x:v>
      </x:c>
      <x:c r="E119" t="str">
        <x:v>Not applicable</x:v>
      </x:c>
      <x:c r="F119" t="str">
        <x:v>Adjusted calcium</x:v>
      </x:c>
      <x:c r="G119" t="str">
        <x:v>Hypercalcaemia</x:v>
      </x:c>
      <x:c r="H119" t="n">
        <x:v>2.88</x:v>
      </x:c>
      <x:c r="I119" t="str">
        <x:v>mmol/L</x:v>
      </x:c>
      <x:c r="J119" s="22" t="str">
        <x:v>Confirmed primary hyperparathyroidism</x:v>
      </x:c>
      <x:c r="K119" s="22" t="str">
        <x:v>No</x:v>
      </x:c>
      <x:c r="L119" s="22" t="str">
        <x:v>No</x:v>
      </x:c>
      <x:c r="M119" s="22" t="n">
        <x:v>3.28</x:v>
      </x:c>
      <x:c r="N119" s="22" t="str">
        <x:v>None</x:v>
      </x:c>
      <x:c r="O119" s="22" t="str">
        <x:v>No</x:v>
      </x:c>
      <x:c r="P119" s="22" t="str">
        <x:v>No</x:v>
      </x:c>
      <x:c r="Q119" s="22" t="str">
        <x:v>Not applicable</x:v>
      </x:c>
      <x:c r="R119" s="22" t="str">
        <x:v>Not applicable</x:v>
      </x:c>
      <x:c r="S119" s="22" t="str">
        <x:v>No</x:v>
      </x:c>
      <x:c r="T119" s="22" t="str">
        <x:v>Yes</x:v>
      </x:c>
      <x:c r="U119" s="22" t="str">
        <x:v>No</x:v>
      </x:c>
      <x:c r="V119" s="22" t="str">
        <x:v>None reported</x:v>
      </x:c>
      <x:c r="W119" s="22" t="str">
        <x:v>No</x:v>
      </x:c>
      <x:c r="X119" s="22" t="str">
        <x:v>Euvolaemic</x:v>
      </x:c>
      <x:c r="Y119" s="22" t="n">
        <x:v>33.5</x:v>
      </x:c>
      <x:c r="Z119" s="22" t="str">
        <x:v>NICE-CA-PHPT-REFER-001</x:v>
      </x:c>
      <x:c r="AA119" s="22" t="str">
        <x:v>Specific context-based NICE guidance</x:v>
      </x:c>
      <x:c r="AB119" s="22" t="str">
        <x:v>Specialist surgical referral</x:v>
      </x:c>
      <x:c r="AC119" s="22" t="str">
        <x:v>Specific NICE referral guidance</x:v>
      </x:c>
      <x:c r="AD119" s="22" t="str">
        <x:v>Refer to a surgeon with expertise in parathyroid surgery when one or more stated NICE criteria are present.</x:v>
      </x:c>
      <x:c r="AE119" s="22" t="str">
        <x:v>Applies only to confirmed primary hyperparathyroidism.</x:v>
      </x:c>
      <x:c r="AF119" s="22" t="str">
        <x:v>NICE-NG132</x:v>
      </x:c>
      <x:c r="AG119" s="22" t="str">
        <x:v>1.3.1 and 1.3.2</x:v>
      </x:c>
      <x:c r="AH119" s="22" t="str">
        <x:v>Hypercalcaemia adult Confirmed primary hyperparathyroidism guideline systematic review clinical review</x:v>
      </x:c>
      <x:c r="AI119" s="22" t="str">
        <x:v>test</x:v>
      </x:c>
      <x:c r="AJ119" s="22" t="str">
        <x:v>Yes</x:v>
      </x:c>
      <x:c r="AK119" s="22" t="str">
        <x:v>Pending</x:v>
      </x:c>
    </x:row>
    <x:row r="120">
      <x:c r="A120" t="str">
        <x:v>CASE-0315</x:v>
      </x:c>
      <x:c r="B120" s="22" t="str">
        <x:v>85-year-old male with hyperkalaemia. Potassium is 6.54 mmol/L; baseline is 6.01 mmol/L. Context: Persistent hyperkalaemia. Symptoms: nausea. IV fluids: No; CKD stage: 5; heart failure: Yes; AKI: No; dialysis: Yes; eGFR: 31.8 mL/min/1.73m².</x:v>
      </x:c>
      <x:c r="C120" t="n">
        <x:v>85</x:v>
      </x:c>
      <x:c r="D120" t="str">
        <x:v>Male</x:v>
      </x:c>
      <x:c r="E120" t="str">
        <x:v>Not applicable</x:v>
      </x:c>
      <x:c r="F120" t="str">
        <x:v>Potassium</x:v>
      </x:c>
      <x:c r="G120" t="str">
        <x:v>Hyperkalaemia</x:v>
      </x:c>
      <x:c r="H120" t="n">
        <x:v>6.54</x:v>
      </x:c>
      <x:c r="I120" t="str">
        <x:v>mmol/L</x:v>
      </x:c>
      <x:c r="J120" s="22" t="str">
        <x:v>Persistent hyperkalaemia</x:v>
      </x:c>
      <x:c r="K120" s="22" t="str">
        <x:v>No</x:v>
      </x:c>
      <x:c r="L120" s="22" t="str">
        <x:v>No</x:v>
      </x:c>
      <x:c r="M120" s="22" t="n">
        <x:v>6.01</x:v>
      </x:c>
      <x:c r="N120" s="22" t="str">
        <x:v>5</x:v>
      </x:c>
      <x:c r="O120" s="22" t="str">
        <x:v>Yes</x:v>
      </x:c>
      <x:c r="P120" s="22" t="str">
        <x:v>No</x:v>
      </x:c>
      <x:c r="Q120" s="22" t="str">
        <x:v>Not optimised because of hyperkalaemia</x:v>
      </x:c>
      <x:c r="R120" s="22" t="str">
        <x:v>Not applicable</x:v>
      </x:c>
      <x:c r="S120" s="22" t="str">
        <x:v>Yes</x:v>
      </x:c>
      <x:c r="T120" s="22" t="str">
        <x:v>No</x:v>
      </x:c>
      <x:c r="U120" s="22" t="str">
        <x:v>No</x:v>
      </x:c>
      <x:c r="V120" s="22" t="str">
        <x:v>nausea</x:v>
      </x:c>
      <x:c r="W120" s="22" t="str">
        <x:v>No</x:v>
      </x:c>
      <x:c r="X120" s="22" t="str">
        <x:v>Hypovolaemic</x:v>
      </x:c>
      <x:c r="Y120" s="22" t="n">
        <x:v>31.8</x:v>
      </x:c>
      <x:c r="Z120" s="22" t="str">
        <x:v>NICE-UNSUPPORTED-001</x:v>
      </x:c>
      <x:c r="AA120" s="22" t="str">
        <x:v>No definitive NICE-only management</x:v>
      </x:c>
      <x:c r="AB120" s="22" t="str">
        <x:v>Clinical review required</x:v>
      </x:c>
      <x:c r="AC120" s="22" t="str">
        <x:v>No definitive NICE-only management output</x:v>
      </x:c>
      <x:c r="AD120" s="22" t="str">
        <x:v>Do not generate treatment instructions. Display that an approved local protocol or specialist review is required.</x:v>
      </x:c>
      <x:c r="AE120" s="22" t="str">
        <x:v>This is a safety rule, not a treatment recommendation.</x:v>
      </x:c>
      <x:c r="AF120" s="22" t="str"/>
      <x:c r="AG120" s="22" t="str"/>
      <x:c r="AH120" s="22" t="str">
        <x:v>Hyperkalaemia adult Persistent hyperkalaemia guideline systematic review clinical review</x:v>
      </x:c>
      <x:c r="AI120" s="22" t="str">
        <x:v>test</x:v>
      </x:c>
      <x:c r="AJ120" s="22" t="str">
        <x:v>Yes</x:v>
      </x:c>
      <x:c r="AK120" s="22" t="str">
        <x:v>Pending</x:v>
      </x:c>
    </x:row>
    <x:row r="121">
      <x:c r="A121" t="str">
        <x:v>CASE-0815</x:v>
      </x:c>
      <x:c r="B121" s="22" t="str">
        <x:v>78-year-old male with no detected sodium abnormality. Sodium is 142.7 mmol/L. General adult presentation.</x:v>
      </x:c>
      <x:c r="C121" t="n">
        <x:v>78</x:v>
      </x:c>
      <x:c r="D121" t="str">
        <x:v>Male</x:v>
      </x:c>
      <x:c r="E121" t="str">
        <x:v>Not applicable</x:v>
      </x:c>
      <x:c r="F121" t="str">
        <x:v>Sodium</x:v>
      </x:c>
      <x:c r="G121" t="str">
        <x:v>No abnormality detected</x:v>
      </x:c>
      <x:c r="H121" t="n">
        <x:v>142.7</x:v>
      </x:c>
      <x:c r="I121" t="str">
        <x:v>mmol/L</x:v>
      </x:c>
      <x:c r="J121" s="22" t="str">
        <x:v>General adult presentation</x:v>
      </x:c>
      <x:c r="K121" s="22" t="str">
        <x:v>No</x:v>
      </x:c>
      <x:c r="L121" s="22" t="str">
        <x:v>No</x:v>
      </x:c>
      <x:c r="M121" s="22" t="n">
        <x:v>142.7</x:v>
      </x:c>
      <x:c r="N121" s="22" t="str">
        <x:v>None</x:v>
      </x:c>
      <x:c r="O121" s="22" t="str">
        <x:v>No</x:v>
      </x:c>
      <x:c r="P121" s="22" t="str">
        <x:v>No</x:v>
      </x:c>
      <x:c r="Q121" s="22" t="str">
        <x:v>Not applicable</x:v>
      </x:c>
      <x:c r="R121" s="22" t="str">
        <x:v>Not applicable</x:v>
      </x:c>
      <x:c r="S121" s="22" t="str">
        <x:v>No</x:v>
      </x:c>
      <x:c r="T121" s="22" t="str">
        <x:v>No</x:v>
      </x:c>
      <x:c r="U121" s="22" t="str">
        <x:v>No</x:v>
      </x:c>
      <x:c r="V121" s="22" t="str">
        <x:v>None reported</x:v>
      </x:c>
      <x:c r="W121" s="22" t="str">
        <x:v>No</x:v>
      </x:c>
      <x:c r="X121" s="22" t="str">
        <x:v>Euvolaemic</x:v>
      </x:c>
      <x:c r="Y121" s="22" t="n">
        <x:v>87.4</x:v>
      </x:c>
      <x:c r="Z121" s="22" t="str">
        <x:v>NICE-GLOBAL-ASSESS-001</x:v>
      </x:c>
      <x:c r="AA121" s="22" t="str">
        <x:v>General NICE assessment only</x:v>
      </x:c>
      <x:c r="AB121" s="22" t="str">
        <x:v>Routine review</x:v>
      </x:c>
      <x:c r="AC121" s="22" t="str">
        <x:v>No abnormality-specific management</x:v>
      </x:c>
      <x:c r="AD121" s="22" t="str">
        <x:v>No electrolyte abnormality is detected by the synthetic reference range; interpret the result with the full clinical picture.</x:v>
      </x:c>
      <x:c r="AE121" s="22" t="str">
        <x:v>Synthetic reference ranges are not NICE management thresholds.</x:v>
      </x:c>
      <x:c r="AF121" s="22" t="str">
        <x:v>NICE-CG174</x:v>
      </x:c>
      <x:c r="AG121" s="22" t="str">
        <x:v>1.1.1 and 1.2.2</x:v>
      </x:c>
      <x:c r="AH121" s="22" t="str">
        <x:v>Sodium reference interval adult laboratory interpretation</x:v>
      </x:c>
      <x:c r="AI121" s="22" t="str">
        <x:v>train</x:v>
      </x:c>
      <x:c r="AJ121" s="22" t="str">
        <x:v>Yes</x:v>
      </x:c>
      <x:c r="AK121" s="22" t="str">
        <x:v>Pending</x:v>
      </x:c>
    </x:row>
    <x:row r="122">
      <x:c r="A122" t="str">
        <x:v>CASE-0650</x:v>
      </x:c>
      <x:c r="B122" s="22" t="str">
        <x:v>79-year-old male with hypomagnesaemia. Magnesium is 0.41 mmol/L; baseline is 0.61 mmol/L. Context: General adult presentation. Symptoms: palpitations, cramps. IV fluids: No; CKD stage: None; heart failure: No; AKI: No; dialysis: No; eGFR: 117.1 mL/min/1.73m².</x:v>
      </x:c>
      <x:c r="C122" t="n">
        <x:v>79</x:v>
      </x:c>
      <x:c r="D122" t="str">
        <x:v>Male</x:v>
      </x:c>
      <x:c r="E122" t="str">
        <x:v>Not applicable</x:v>
      </x:c>
      <x:c r="F122" t="str">
        <x:v>Magnesium</x:v>
      </x:c>
      <x:c r="G122" t="str">
        <x:v>Hypomagnesaemia</x:v>
      </x:c>
      <x:c r="H122" t="n">
        <x:v>0.41</x:v>
      </x:c>
      <x:c r="I122" t="str">
        <x:v>mmol/L</x:v>
      </x:c>
      <x:c r="J122" s="22" t="str">
        <x:v>General adult presentation</x:v>
      </x:c>
      <x:c r="K122" s="22" t="str">
        <x:v>No</x:v>
      </x:c>
      <x:c r="L122" s="22" t="str">
        <x:v>No</x:v>
      </x:c>
      <x:c r="M122" s="22" t="n">
        <x:v>0.61</x:v>
      </x:c>
      <x:c r="N122" s="22" t="str">
        <x:v>None</x:v>
      </x:c>
      <x:c r="O122" s="22" t="str">
        <x:v>No</x:v>
      </x:c>
      <x:c r="P122" s="22" t="str">
        <x:v>No</x:v>
      </x:c>
      <x:c r="Q122" s="22" t="str">
        <x:v>Not applicable</x:v>
      </x:c>
      <x:c r="R122" s="22" t="str">
        <x:v>Not applicable</x:v>
      </x:c>
      <x:c r="S122" s="22" t="str">
        <x:v>No</x:v>
      </x:c>
      <x:c r="T122" s="22" t="str">
        <x:v>No</x:v>
      </x:c>
      <x:c r="U122" s="22" t="str">
        <x:v>No</x:v>
      </x:c>
      <x:c r="V122" s="22" t="str">
        <x:v>palpitations, cramps</x:v>
      </x:c>
      <x:c r="W122" s="22" t="str">
        <x:v>No</x:v>
      </x:c>
      <x:c r="X122" s="22" t="str">
        <x:v>Hypervolaemic</x:v>
      </x:c>
      <x:c r="Y122" s="22" t="n">
        <x:v>117.1</x:v>
      </x:c>
      <x:c r="Z122" s="22" t="str">
        <x:v>NICE-UNSUPPORTED-001</x:v>
      </x:c>
      <x:c r="AA122" s="22" t="str">
        <x:v>No definitive NICE-only management</x:v>
      </x:c>
      <x:c r="AB122" s="22" t="str">
        <x:v>Clinical review required</x:v>
      </x:c>
      <x:c r="AC122" s="22" t="str">
        <x:v>No definitive NICE-only management output</x:v>
      </x:c>
      <x:c r="AD122" s="22" t="str">
        <x:v>Do not generate treatment instructions. Display that an approved local protocol or specialist review is required.</x:v>
      </x:c>
      <x:c r="AE122" s="22" t="str">
        <x:v>This is a safety rule, not a treatment recommendation.</x:v>
      </x:c>
      <x:c r="AF122" s="22" t="str"/>
      <x:c r="AG122" s="22" t="str"/>
      <x:c r="AH122" s="22" t="str">
        <x:v>Hypomagnesaemia adult General adult presentation guideline systematic review clinical review</x:v>
      </x:c>
      <x:c r="AI122" s="22" t="str">
        <x:v>train</x:v>
      </x:c>
      <x:c r="AJ122" s="22" t="str">
        <x:v>Yes</x:v>
      </x:c>
      <x:c r="AK122" s="22" t="str">
        <x:v>Pending</x:v>
      </x:c>
    </x:row>
    <x:row r="123">
      <x:c r="A123" t="str">
        <x:v>CASE-0763</x:v>
      </x:c>
      <x:c r="B123" s="22" t="str">
        <x:v>31-year-old female with hypermagnesaemia. Magnesium is 2.37 mmol/L; baseline is 1.44 mmol/L. Context: General adult presentation. Symptoms: None reported. IV fluids: No; CKD stage: None; heart failure: No; AKI: No; dialysis: No; eGFR: 77.9 mL/min/1.73m².</x:v>
      </x:c>
      <x:c r="C123" t="n">
        <x:v>31</x:v>
      </x:c>
      <x:c r="D123" t="str">
        <x:v>Female</x:v>
      </x:c>
      <x:c r="E123" t="str">
        <x:v>Not pregnant</x:v>
      </x:c>
      <x:c r="F123" t="str">
        <x:v>Magnesium</x:v>
      </x:c>
      <x:c r="G123" t="str">
        <x:v>Hypermagnesaemia</x:v>
      </x:c>
      <x:c r="H123" t="n">
        <x:v>2.37</x:v>
      </x:c>
      <x:c r="I123" t="str">
        <x:v>mmol/L</x:v>
      </x:c>
      <x:c r="J123" s="22" t="str">
        <x:v>General adult presentation</x:v>
      </x:c>
      <x:c r="K123" s="22" t="str">
        <x:v>No</x:v>
      </x:c>
      <x:c r="L123" s="22" t="str">
        <x:v>No</x:v>
      </x:c>
      <x:c r="M123" s="22" t="n">
        <x:v>1.44</x:v>
      </x:c>
      <x:c r="N123" s="22" t="str">
        <x:v>None</x:v>
      </x:c>
      <x:c r="O123" s="22" t="str">
        <x:v>No</x:v>
      </x:c>
      <x:c r="P123" s="22" t="str">
        <x:v>No</x:v>
      </x:c>
      <x:c r="Q123" s="22" t="str">
        <x:v>Not applicable</x:v>
      </x:c>
      <x:c r="R123" s="22" t="str">
        <x:v>Not applicable</x:v>
      </x:c>
      <x:c r="S123" s="22" t="str">
        <x:v>No</x:v>
      </x:c>
      <x:c r="T123" s="22" t="str">
        <x:v>No</x:v>
      </x:c>
      <x:c r="U123" s="22" t="str">
        <x:v>No</x:v>
      </x:c>
      <x:c r="V123" s="22" t="str">
        <x:v>None reported</x:v>
      </x:c>
      <x:c r="W123" s="22" t="str">
        <x:v>No</x:v>
      </x:c>
      <x:c r="X123" s="22" t="str">
        <x:v>Hypervolaemic</x:v>
      </x:c>
      <x:c r="Y123" s="22" t="n">
        <x:v>77.9</x:v>
      </x:c>
      <x:c r="Z123" s="22" t="str">
        <x:v>NICE-UNSUPPORTED-001</x:v>
      </x:c>
      <x:c r="AA123" s="22" t="str">
        <x:v>No definitive NICE-only management</x:v>
      </x:c>
      <x:c r="AB123" s="22" t="str">
        <x:v>Clinical review required</x:v>
      </x:c>
      <x:c r="AC123" s="22" t="str">
        <x:v>No definitive NICE-only management output</x:v>
      </x:c>
      <x:c r="AD123" s="22" t="str">
        <x:v>Do not generate treatment instructions. Display that an approved local protocol or specialist review is required.</x:v>
      </x:c>
      <x:c r="AE123" s="22" t="str">
        <x:v>This is a safety rule, not a treatment recommendation.</x:v>
      </x:c>
      <x:c r="AF123" s="22" t="str"/>
      <x:c r="AG123" s="22" t="str"/>
      <x:c r="AH123" s="22" t="str">
        <x:v>Hypermagnesaemia adult General adult presentation guideline systematic review clinical review</x:v>
      </x:c>
      <x:c r="AI123" s="22" t="str">
        <x:v>train</x:v>
      </x:c>
      <x:c r="AJ123" s="22" t="str">
        <x:v>Yes</x:v>
      </x:c>
      <x:c r="AK123" s="22" t="str">
        <x:v>Pending</x:v>
      </x:c>
    </x:row>
    <x:row r="124">
      <x:c r="A124" t="str">
        <x:v>CASE-0005</x:v>
      </x:c>
      <x:c r="B124" s="22" t="str">
        <x:v>22-year-old female with hyponatraemia. Sodium is 112.2 mmol/L; baseline is 143.3 mmol/L. Context: IV-fluid-related. Symptoms: None reported. IV fluids: Yes; CKD stage: None; heart failure: No; AKI: No; dialysis: No; eGFR: 32.9 mL/min/1.73m².</x:v>
      </x:c>
      <x:c r="C124" t="n">
        <x:v>22</x:v>
      </x:c>
      <x:c r="D124" t="str">
        <x:v>Female</x:v>
      </x:c>
      <x:c r="E124" t="str">
        <x:v>Not pregnant</x:v>
      </x:c>
      <x:c r="F124" t="str">
        <x:v>Sodium</x:v>
      </x:c>
      <x:c r="G124" t="str">
        <x:v>Hyponatraemia</x:v>
      </x:c>
      <x:c r="H124" t="n">
        <x:v>112.2</x:v>
      </x:c>
      <x:c r="I124" t="str">
        <x:v>mmol/L</x:v>
      </x:c>
      <x:c r="J124" s="22" t="str">
        <x:v>IV-fluid-related</x:v>
      </x:c>
      <x:c r="K124" s="22" t="str">
        <x:v>Yes</x:v>
      </x:c>
      <x:c r="L124" s="22" t="str">
        <x:v>No</x:v>
      </x:c>
      <x:c r="M124" s="22" t="n">
        <x:v>143.3</x:v>
      </x:c>
      <x:c r="N124" s="22" t="str">
        <x:v>None</x:v>
      </x:c>
      <x:c r="O124" s="22" t="str">
        <x:v>No</x:v>
      </x:c>
      <x:c r="P124" s="22" t="str">
        <x:v>No</x:v>
      </x:c>
      <x:c r="Q124" s="22" t="str">
        <x:v>Not applicable</x:v>
      </x:c>
      <x:c r="R124" s="22" t="str">
        <x:v>Not applicable</x:v>
      </x:c>
      <x:c r="S124" s="22" t="str">
        <x:v>No</x:v>
      </x:c>
      <x:c r="T124" s="22" t="str">
        <x:v>No</x:v>
      </x:c>
      <x:c r="U124" s="22" t="str">
        <x:v>No</x:v>
      </x:c>
      <x:c r="V124" s="22" t="str">
        <x:v>None reported</x:v>
      </x:c>
      <x:c r="W124" s="22" t="str">
        <x:v>No</x:v>
      </x:c>
      <x:c r="X124" s="22" t="str">
        <x:v>Euvolaemic</x:v>
      </x:c>
      <x:c r="Y124" s="22" t="n">
        <x:v>32.9</x:v>
      </x:c>
      <x:c r="Z124" s="22" t="str">
        <x:v>NICE-NA-HYPO-IV-001</x:v>
      </x:c>
      <x:c r="AA124" s="22" t="str">
        <x:v>NICE detection / reassessment / escalation</x:v>
      </x:c>
      <x:c r="AB124" s="22" t="str">
        <x:v>Urgent review</x:v>
      </x:c>
      <x:c r="AC124" s="22" t="str">
        <x:v>NICE detection, reassessment and escalation</x:v>
      </x:c>
      <x:c r="AD124" s="22" t="str">
        <x:v>Treat as possible IV-fluid mismanagement: reassess the fluid prescription and monitoring plan, and seek expert help for a complex imbalance.</x:v>
      </x:c>
      <x:c r="AE124" s="22" t="str">
        <x:v>No definitive sodium-correction regimen is provided by CG174.</x:v>
      </x:c>
      <x:c r="AF124" s="22" t="str">
        <x:v>NICE-CG174</x:v>
      </x:c>
      <x:c r="AG124" s="22" t="str">
        <x:v>1.2.4, 1.5.1, 1.5.2, Table 1</x:v>
      </x:c>
      <x:c r="AH124" s="22" t="str">
        <x:v>Hyponatraemia adult IV-fluid-related guideline systematic review clinical review</x:v>
      </x:c>
      <x:c r="AI124" s="22" t="str">
        <x:v>train</x:v>
      </x:c>
      <x:c r="AJ124" s="22" t="str">
        <x:v>Yes</x:v>
      </x:c>
      <x:c r="AK124" s="22" t="str">
        <x:v>Pending</x:v>
      </x:c>
    </x:row>
    <x:row r="125">
      <x:c r="A125" t="str">
        <x:v>CASE-0850</x:v>
      </x:c>
      <x:c r="B125" s="22" t="str">
        <x:v>34-year-old male with no detected sodium abnormality. Sodium is 143.9 mmol/L. General adult presentation.</x:v>
      </x:c>
      <x:c r="C125" t="n">
        <x:v>34</x:v>
      </x:c>
      <x:c r="D125" t="str">
        <x:v>Male</x:v>
      </x:c>
      <x:c r="E125" t="str">
        <x:v>Not applicable</x:v>
      </x:c>
      <x:c r="F125" t="str">
        <x:v>Sodium</x:v>
      </x:c>
      <x:c r="G125" t="str">
        <x:v>No abnormality detected</x:v>
      </x:c>
      <x:c r="H125" t="n">
        <x:v>143.9</x:v>
      </x:c>
      <x:c r="I125" t="str">
        <x:v>mmol/L</x:v>
      </x:c>
      <x:c r="J125" s="22" t="str">
        <x:v>General adult presentation</x:v>
      </x:c>
      <x:c r="K125" s="22" t="str">
        <x:v>No</x:v>
      </x:c>
      <x:c r="L125" s="22" t="str">
        <x:v>No</x:v>
      </x:c>
      <x:c r="M125" s="22" t="n">
        <x:v>143.9</x:v>
      </x:c>
      <x:c r="N125" s="22" t="str">
        <x:v>None</x:v>
      </x:c>
      <x:c r="O125" s="22" t="str">
        <x:v>No</x:v>
      </x:c>
      <x:c r="P125" s="22" t="str">
        <x:v>No</x:v>
      </x:c>
      <x:c r="Q125" s="22" t="str">
        <x:v>Not applicable</x:v>
      </x:c>
      <x:c r="R125" s="22" t="str">
        <x:v>Not applicable</x:v>
      </x:c>
      <x:c r="S125" s="22" t="str">
        <x:v>No</x:v>
      </x:c>
      <x:c r="T125" s="22" t="str">
        <x:v>No</x:v>
      </x:c>
      <x:c r="U125" s="22" t="str">
        <x:v>No</x:v>
      </x:c>
      <x:c r="V125" s="22" t="str">
        <x:v>None reported</x:v>
      </x:c>
      <x:c r="W125" s="22" t="str">
        <x:v>No</x:v>
      </x:c>
      <x:c r="X125" s="22" t="str">
        <x:v>Euvolaemic</x:v>
      </x:c>
      <x:c r="Y125" s="22" t="n">
        <x:v>63.8</x:v>
      </x:c>
      <x:c r="Z125" s="22" t="str">
        <x:v>NICE-GLOBAL-ASSESS-001</x:v>
      </x:c>
      <x:c r="AA125" s="22" t="str">
        <x:v>General NICE assessment only</x:v>
      </x:c>
      <x:c r="AB125" s="22" t="str">
        <x:v>Routine review</x:v>
      </x:c>
      <x:c r="AC125" s="22" t="str">
        <x:v>No abnormality-specific management</x:v>
      </x:c>
      <x:c r="AD125" s="22" t="str">
        <x:v>No electrolyte abnormality is detected by the synthetic reference range; interpret the result with the full clinical picture.</x:v>
      </x:c>
      <x:c r="AE125" s="22" t="str">
        <x:v>Synthetic reference ranges are not NICE management thresholds.</x:v>
      </x:c>
      <x:c r="AF125" s="22" t="str">
        <x:v>NICE-CG174</x:v>
      </x:c>
      <x:c r="AG125" s="22" t="str">
        <x:v>1.1.1 and 1.2.2</x:v>
      </x:c>
      <x:c r="AH125" s="22" t="str">
        <x:v>Sodium reference interval adult laboratory interpretation</x:v>
      </x:c>
      <x:c r="AI125" s="22" t="str">
        <x:v>train</x:v>
      </x:c>
      <x:c r="AJ125" s="22" t="str">
        <x:v>Yes</x:v>
      </x:c>
      <x:c r="AK125" s="22" t="str">
        <x:v>Pending</x:v>
      </x:c>
    </x:row>
    <x:row r="126">
      <x:c r="A126" t="str">
        <x:v>CASE-0853</x:v>
      </x:c>
      <x:c r="B126" s="22" t="str">
        <x:v>54-year-old female with no detected potassium abnormality. Potassium is 4.78 mmol/L. General adult presentation.</x:v>
      </x:c>
      <x:c r="C126" t="n">
        <x:v>54</x:v>
      </x:c>
      <x:c r="D126" t="str">
        <x:v>Female</x:v>
      </x:c>
      <x:c r="E126" t="str">
        <x:v>Not applicable</x:v>
      </x:c>
      <x:c r="F126" t="str">
        <x:v>Potassium</x:v>
      </x:c>
      <x:c r="G126" t="str">
        <x:v>No abnormality detected</x:v>
      </x:c>
      <x:c r="H126" t="n">
        <x:v>4.78</x:v>
      </x:c>
      <x:c r="I126" t="str">
        <x:v>mmol/L</x:v>
      </x:c>
      <x:c r="J126" s="22" t="str">
        <x:v>General adult presentation</x:v>
      </x:c>
      <x:c r="K126" s="22" t="str">
        <x:v>No</x:v>
      </x:c>
      <x:c r="L126" s="22" t="str">
        <x:v>No</x:v>
      </x:c>
      <x:c r="M126" s="22" t="n">
        <x:v>4.78</x:v>
      </x:c>
      <x:c r="N126" s="22" t="str">
        <x:v>None</x:v>
      </x:c>
      <x:c r="O126" s="22" t="str">
        <x:v>No</x:v>
      </x:c>
      <x:c r="P126" s="22" t="str">
        <x:v>No</x:v>
      </x:c>
      <x:c r="Q126" s="22" t="str">
        <x:v>Not applicable</x:v>
      </x:c>
      <x:c r="R126" s="22" t="str">
        <x:v>Not applicable</x:v>
      </x:c>
      <x:c r="S126" s="22" t="str">
        <x:v>No</x:v>
      </x:c>
      <x:c r="T126" s="22" t="str">
        <x:v>No</x:v>
      </x:c>
      <x:c r="U126" s="22" t="str">
        <x:v>No</x:v>
      </x:c>
      <x:c r="V126" s="22" t="str">
        <x:v>None reported</x:v>
      </x:c>
      <x:c r="W126" s="22" t="str">
        <x:v>No</x:v>
      </x:c>
      <x:c r="X126" s="22" t="str">
        <x:v>Euvolaemic</x:v>
      </x:c>
      <x:c r="Y126" s="22" t="n">
        <x:v>82.6</x:v>
      </x:c>
      <x:c r="Z126" s="22" t="str">
        <x:v>NICE-GLOBAL-ASSESS-001</x:v>
      </x:c>
      <x:c r="AA126" s="22" t="str">
        <x:v>General NICE assessment only</x:v>
      </x:c>
      <x:c r="AB126" s="22" t="str">
        <x:v>Routine review</x:v>
      </x:c>
      <x:c r="AC126" s="22" t="str">
        <x:v>No abnormality-specific management</x:v>
      </x:c>
      <x:c r="AD126" s="22" t="str">
        <x:v>No electrolyte abnormality is detected by the synthetic reference range; interpret the result with the full clinical picture.</x:v>
      </x:c>
      <x:c r="AE126" s="22" t="str">
        <x:v>Synthetic reference ranges are not NICE management thresholds.</x:v>
      </x:c>
      <x:c r="AF126" s="22" t="str">
        <x:v>NICE-CG174</x:v>
      </x:c>
      <x:c r="AG126" s="22" t="str">
        <x:v>1.1.1 and 1.2.2</x:v>
      </x:c>
      <x:c r="AH126" s="22" t="str">
        <x:v>Potassium reference interval adult laboratory interpretation</x:v>
      </x:c>
      <x:c r="AI126" s="22" t="str">
        <x:v>train</x:v>
      </x:c>
      <x:c r="AJ126" s="22" t="str">
        <x:v>Yes</x:v>
      </x:c>
      <x:c r="AK126" s="22" t="str">
        <x:v>Pending</x:v>
      </x:c>
    </x:row>
    <x:row r="127">
      <x:c r="A127" t="str">
        <x:v>CASE-0844</x:v>
      </x:c>
      <x:c r="B127" s="22" t="str">
        <x:v>25-year-old female with no detected sodium abnormality. Sodium is 140.1 mmol/L. General adult presentation.</x:v>
      </x:c>
      <x:c r="C127" t="n">
        <x:v>25</x:v>
      </x:c>
      <x:c r="D127" t="str">
        <x:v>Female</x:v>
      </x:c>
      <x:c r="E127" t="str">
        <x:v>Not applicable</x:v>
      </x:c>
      <x:c r="F127" t="str">
        <x:v>Sodium</x:v>
      </x:c>
      <x:c r="G127" t="str">
        <x:v>No abnormality detected</x:v>
      </x:c>
      <x:c r="H127" t="n">
        <x:v>140.1</x:v>
      </x:c>
      <x:c r="I127" t="str">
        <x:v>mmol/L</x:v>
      </x:c>
      <x:c r="J127" s="22" t="str">
        <x:v>General adult presentation</x:v>
      </x:c>
      <x:c r="K127" s="22" t="str">
        <x:v>No</x:v>
      </x:c>
      <x:c r="L127" s="22" t="str">
        <x:v>No</x:v>
      </x:c>
      <x:c r="M127" s="22" t="n">
        <x:v>140.1</x:v>
      </x:c>
      <x:c r="N127" s="22" t="str">
        <x:v>None</x:v>
      </x:c>
      <x:c r="O127" s="22" t="str">
        <x:v>No</x:v>
      </x:c>
      <x:c r="P127" s="22" t="str">
        <x:v>No</x:v>
      </x:c>
      <x:c r="Q127" s="22" t="str">
        <x:v>Not applicable</x:v>
      </x:c>
      <x:c r="R127" s="22" t="str">
        <x:v>Not applicable</x:v>
      </x:c>
      <x:c r="S127" s="22" t="str">
        <x:v>No</x:v>
      </x:c>
      <x:c r="T127" s="22" t="str">
        <x:v>No</x:v>
      </x:c>
      <x:c r="U127" s="22" t="str">
        <x:v>No</x:v>
      </x:c>
      <x:c r="V127" s="22" t="str">
        <x:v>None reported</x:v>
      </x:c>
      <x:c r="W127" s="22" t="str">
        <x:v>No</x:v>
      </x:c>
      <x:c r="X127" s="22" t="str">
        <x:v>Euvolaemic</x:v>
      </x:c>
      <x:c r="Y127" s="22" t="n">
        <x:v>92.5</x:v>
      </x:c>
      <x:c r="Z127" s="22" t="str">
        <x:v>NICE-GLOBAL-ASSESS-001</x:v>
      </x:c>
      <x:c r="AA127" s="22" t="str">
        <x:v>General NICE assessment only</x:v>
      </x:c>
      <x:c r="AB127" s="22" t="str">
        <x:v>Routine review</x:v>
      </x:c>
      <x:c r="AC127" s="22" t="str">
        <x:v>No abnormality-specific management</x:v>
      </x:c>
      <x:c r="AD127" s="22" t="str">
        <x:v>No electrolyte abnormality is detected by the synthetic reference range; interpret the result with the full clinical picture.</x:v>
      </x:c>
      <x:c r="AE127" s="22" t="str">
        <x:v>Synthetic reference ranges are not NICE management thresholds.</x:v>
      </x:c>
      <x:c r="AF127" s="22" t="str">
        <x:v>NICE-CG174</x:v>
      </x:c>
      <x:c r="AG127" s="22" t="str">
        <x:v>1.1.1 and 1.2.2</x:v>
      </x:c>
      <x:c r="AH127" s="22" t="str">
        <x:v>Sodium reference interval adult laboratory interpretation</x:v>
      </x:c>
      <x:c r="AI127" s="22" t="str">
        <x:v>train</x:v>
      </x:c>
      <x:c r="AJ127" s="22" t="str">
        <x:v>Yes</x:v>
      </x:c>
      <x:c r="AK127" s="22" t="str">
        <x:v>Pending</x:v>
      </x:c>
    </x:row>
    <x:row r="128">
      <x:c r="A128" t="str">
        <x:v>CASE-0105</x:v>
      </x:c>
      <x:c r="B128" s="22" t="str">
        <x:v>82-year-old male with hypernatraemia. Sodium is 156.7 mmol/L; baseline is 139.8 mmol/L. Context: IV-fluid-related. Symptoms: lethargy, thirst. IV fluids: Yes; CKD stage: None; heart failure: No; AKI: No; dialysis: No; eGFR: 62.9 mL/min/1.73m².</x:v>
      </x:c>
      <x:c r="C128" t="n">
        <x:v>82</x:v>
      </x:c>
      <x:c r="D128" t="str">
        <x:v>Male</x:v>
      </x:c>
      <x:c r="E128" t="str">
        <x:v>Not applicable</x:v>
      </x:c>
      <x:c r="F128" t="str">
        <x:v>Sodium</x:v>
      </x:c>
      <x:c r="G128" t="str">
        <x:v>Hypernatraemia</x:v>
      </x:c>
      <x:c r="H128" t="n">
        <x:v>156.7</x:v>
      </x:c>
      <x:c r="I128" t="str">
        <x:v>mmol/L</x:v>
      </x:c>
      <x:c r="J128" s="22" t="str">
        <x:v>IV-fluid-related</x:v>
      </x:c>
      <x:c r="K128" s="22" t="str">
        <x:v>Yes</x:v>
      </x:c>
      <x:c r="L128" s="22" t="str">
        <x:v>Yes</x:v>
      </x:c>
      <x:c r="M128" s="22" t="n">
        <x:v>139.8</x:v>
      </x:c>
      <x:c r="N128" s="22" t="str">
        <x:v>None</x:v>
      </x:c>
      <x:c r="O128" s="22" t="str">
        <x:v>No</x:v>
      </x:c>
      <x:c r="P128" s="22" t="str">
        <x:v>No</x:v>
      </x:c>
      <x:c r="Q128" s="22" t="str">
        <x:v>Not applicable</x:v>
      </x:c>
      <x:c r="R128" s="22" t="str">
        <x:v>Not applicable</x:v>
      </x:c>
      <x:c r="S128" s="22" t="str">
        <x:v>No</x:v>
      </x:c>
      <x:c r="T128" s="22" t="str">
        <x:v>No</x:v>
      </x:c>
      <x:c r="U128" s="22" t="str">
        <x:v>No</x:v>
      </x:c>
      <x:c r="V128" s="22" t="str">
        <x:v>lethargy, thirst</x:v>
      </x:c>
      <x:c r="W128" s="22" t="str">
        <x:v>No</x:v>
      </x:c>
      <x:c r="X128" s="22" t="str">
        <x:v>Hypovolaemic</x:v>
      </x:c>
      <x:c r="Y128" s="22" t="n">
        <x:v>62.9</x:v>
      </x:c>
      <x:c r="Z128" s="22" t="str">
        <x:v>NICE-NA-HYPER-IV-001</x:v>
      </x:c>
      <x:c r="AA128" s="22" t="str">
        <x:v>NICE detection / reassessment / escalation</x:v>
      </x:c>
      <x:c r="AB128" s="22" t="str">
        <x:v>Urgent review</x:v>
      </x:c>
      <x:c r="AC128" s="22" t="str">
        <x:v>NICE detection, reassessment and escalation</x:v>
      </x:c>
      <x:c r="AD128" s="22" t="str">
        <x:v>Treat as possible IV-fluid mismanagement: reassess the fluid prescription and monitoring plan, and seek expert help for the imbalance.</x:v>
      </x:c>
      <x:c r="AE128" s="22" t="str">
        <x:v>No definitive sodium-correction regimen is provided by CG174.</x:v>
      </x:c>
      <x:c r="AF128" s="22" t="str">
        <x:v>NICE-CG174</x:v>
      </x:c>
      <x:c r="AG128" s="22" t="str">
        <x:v>1.2.4, 1.5.1, 1.5.2, Table 1</x:v>
      </x:c>
      <x:c r="AH128" s="22" t="str">
        <x:v>Hypernatraemia adult IV-fluid-related guideline systematic review clinical review</x:v>
      </x:c>
      <x:c r="AI128" s="22" t="str">
        <x:v>train</x:v>
      </x:c>
      <x:c r="AJ128" s="22" t="str">
        <x:v>Yes</x:v>
      </x:c>
      <x:c r="AK128" s="22" t="str">
        <x:v>Pending</x:v>
      </x:c>
    </x:row>
    <x:row r="129">
      <x:c r="A129" t="str">
        <x:v>CASE-0013</x:v>
      </x:c>
      <x:c r="B129" s="22" t="str">
        <x:v>44-year-old male with hyponatraemia. Sodium is 115.1 mmol/L; baseline is 136.1 mmol/L. Context: IV-fluid-related. Symptoms: None reported. IV fluids: Yes; CKD stage: None; heart failure: No; AKI: No; dialysis: No; eGFR: 115.3 mL/min/1.73m².</x:v>
      </x:c>
      <x:c r="C129" t="n">
        <x:v>44</x:v>
      </x:c>
      <x:c r="D129" t="str">
        <x:v>Male</x:v>
      </x:c>
      <x:c r="E129" t="str">
        <x:v>Not applicable</x:v>
      </x:c>
      <x:c r="F129" t="str">
        <x:v>Sodium</x:v>
      </x:c>
      <x:c r="G129" t="str">
        <x:v>Hyponatraemia</x:v>
      </x:c>
      <x:c r="H129" t="n">
        <x:v>115.1</x:v>
      </x:c>
      <x:c r="I129" t="str">
        <x:v>mmol/L</x:v>
      </x:c>
      <x:c r="J129" s="22" t="str">
        <x:v>IV-fluid-related</x:v>
      </x:c>
      <x:c r="K129" s="22" t="str">
        <x:v>Yes</x:v>
      </x:c>
      <x:c r="L129" s="22" t="str">
        <x:v>No</x:v>
      </x:c>
      <x:c r="M129" s="22" t="n">
        <x:v>136.1</x:v>
      </x:c>
      <x:c r="N129" s="22" t="str">
        <x:v>None</x:v>
      </x:c>
      <x:c r="O129" s="22" t="str">
        <x:v>No</x:v>
      </x:c>
      <x:c r="P129" s="22" t="str">
        <x:v>No</x:v>
      </x:c>
      <x:c r="Q129" s="22" t="str">
        <x:v>Not applicable</x:v>
      </x:c>
      <x:c r="R129" s="22" t="str">
        <x:v>Not applicable</x:v>
      </x:c>
      <x:c r="S129" s="22" t="str">
        <x:v>No</x:v>
      </x:c>
      <x:c r="T129" s="22" t="str">
        <x:v>No</x:v>
      </x:c>
      <x:c r="U129" s="22" t="str">
        <x:v>No</x:v>
      </x:c>
      <x:c r="V129" s="22" t="str">
        <x:v>None reported</x:v>
      </x:c>
      <x:c r="W129" s="22" t="str">
        <x:v>No</x:v>
      </x:c>
      <x:c r="X129" s="22" t="str">
        <x:v>Uncertain</x:v>
      </x:c>
      <x:c r="Y129" s="22" t="n">
        <x:v>115.3</x:v>
      </x:c>
      <x:c r="Z129" s="22" t="str">
        <x:v>NICE-NA-HYPO-IV-001</x:v>
      </x:c>
      <x:c r="AA129" s="22" t="str">
        <x:v>NICE detection / reassessment / escalation</x:v>
      </x:c>
      <x:c r="AB129" s="22" t="str">
        <x:v>Urgent review</x:v>
      </x:c>
      <x:c r="AC129" s="22" t="str">
        <x:v>NICE detection, reassessment and escalation</x:v>
      </x:c>
      <x:c r="AD129" s="22" t="str">
        <x:v>Treat as possible IV-fluid mismanagement: reassess the fluid prescription and monitoring plan, and seek expert help for a complex imbalance.</x:v>
      </x:c>
      <x:c r="AE129" s="22" t="str">
        <x:v>No definitive sodium-correction regimen is provided by CG174.</x:v>
      </x:c>
      <x:c r="AF129" s="22" t="str">
        <x:v>NICE-CG174</x:v>
      </x:c>
      <x:c r="AG129" s="22" t="str">
        <x:v>1.2.4, 1.5.1, 1.5.2, Table 1</x:v>
      </x:c>
      <x:c r="AH129" s="22" t="str">
        <x:v>Hyponatraemia adult IV-fluid-related guideline systematic review clinical review</x:v>
      </x:c>
      <x:c r="AI129" s="22" t="str">
        <x:v>train</x:v>
      </x:c>
      <x:c r="AJ129" s="22" t="str">
        <x:v>Yes</x:v>
      </x:c>
      <x:c r="AK129" s="22" t="str">
        <x:v>Pending</x:v>
      </x:c>
    </x:row>
    <x:row r="130">
      <x:c r="A130" t="str">
        <x:v>CASE-0790</x:v>
      </x:c>
      <x:c r="B130" s="22" t="str">
        <x:v>78-year-old female with hypermagnesaemia. Magnesium is 3.96 mmol/L; baseline is 2.93 mmol/L. Context: General adult presentation. Symptoms: nausea. IV fluids: No; CKD stage: None; heart failure: No; AKI: No; dialysis: No; eGFR: 37.9 mL/min/1.73m².</x:v>
      </x:c>
      <x:c r="C130" t="n">
        <x:v>78</x:v>
      </x:c>
      <x:c r="D130" t="str">
        <x:v>Female</x:v>
      </x:c>
      <x:c r="E130" t="str">
        <x:v>Not applicable</x:v>
      </x:c>
      <x:c r="F130" t="str">
        <x:v>Magnesium</x:v>
      </x:c>
      <x:c r="G130" t="str">
        <x:v>Hypermagnesaemia</x:v>
      </x:c>
      <x:c r="H130" t="n">
        <x:v>3.96</x:v>
      </x:c>
      <x:c r="I130" t="str">
        <x:v>mmol/L</x:v>
      </x:c>
      <x:c r="J130" s="22" t="str">
        <x:v>General adult presentation</x:v>
      </x:c>
      <x:c r="K130" s="22" t="str">
        <x:v>No</x:v>
      </x:c>
      <x:c r="L130" s="22" t="str">
        <x:v>No</x:v>
      </x:c>
      <x:c r="M130" s="22" t="n">
        <x:v>2.93</x:v>
      </x:c>
      <x:c r="N130" s="22" t="str">
        <x:v>None</x:v>
      </x:c>
      <x:c r="O130" s="22" t="str">
        <x:v>No</x:v>
      </x:c>
      <x:c r="P130" s="22" t="str">
        <x:v>No</x:v>
      </x:c>
      <x:c r="Q130" s="22" t="str">
        <x:v>Not applicable</x:v>
      </x:c>
      <x:c r="R130" s="22" t="str">
        <x:v>Not applicable</x:v>
      </x:c>
      <x:c r="S130" s="22" t="str">
        <x:v>No</x:v>
      </x:c>
      <x:c r="T130" s="22" t="str">
        <x:v>No</x:v>
      </x:c>
      <x:c r="U130" s="22" t="str">
        <x:v>No</x:v>
      </x:c>
      <x:c r="V130" s="22" t="str">
        <x:v>nausea</x:v>
      </x:c>
      <x:c r="W130" s="22" t="str">
        <x:v>No</x:v>
      </x:c>
      <x:c r="X130" s="22" t="str">
        <x:v>Uncertain</x:v>
      </x:c>
      <x:c r="Y130" s="22" t="n">
        <x:v>37.9</x:v>
      </x:c>
      <x:c r="Z130" s="22" t="str">
        <x:v>NICE-UNSUPPORTED-001</x:v>
      </x:c>
      <x:c r="AA130" s="22" t="str">
        <x:v>No definitive NICE-only management</x:v>
      </x:c>
      <x:c r="AB130" s="22" t="str">
        <x:v>Clinical review required</x:v>
      </x:c>
      <x:c r="AC130" s="22" t="str">
        <x:v>No definitive NICE-only management output</x:v>
      </x:c>
      <x:c r="AD130" s="22" t="str">
        <x:v>Do not generate treatment instructions. Display that an approved local protocol or specialist review is required.</x:v>
      </x:c>
      <x:c r="AE130" s="22" t="str">
        <x:v>This is a safety rule, not a treatment recommendation.</x:v>
      </x:c>
      <x:c r="AF130" s="22" t="str"/>
      <x:c r="AG130" s="22" t="str"/>
      <x:c r="AH130" s="22" t="str">
        <x:v>Hypermagnesaemia adult General adult presentation guideline systematic review clinical review</x:v>
      </x:c>
      <x:c r="AI130" s="22" t="str">
        <x:v>train</x:v>
      </x:c>
      <x:c r="AJ130" s="22" t="str">
        <x:v>Yes</x:v>
      </x:c>
      <x:c r="AK130" s="22" t="str">
        <x:v>Pending</x:v>
      </x:c>
    </x:row>
    <x:row r="131">
      <x:c r="A131" t="str">
        <x:v>CASE-0732</x:v>
      </x:c>
      <x:c r="B131" s="22" t="str">
        <x:v>88-year-old male with hypermagnesaemia. Magnesium is 3.51 mmol/L; baseline is 2.46 mmol/L. Context: General adult presentation. Symptoms: None reported. IV fluids: No; CKD stage: None; heart failure: No; AKI: No; dialysis: No; eGFR: 103.6 mL/min/1.73m².</x:v>
      </x:c>
      <x:c r="C131" t="n">
        <x:v>88</x:v>
      </x:c>
      <x:c r="D131" t="str">
        <x:v>Male</x:v>
      </x:c>
      <x:c r="E131" t="str">
        <x:v>Not applicable</x:v>
      </x:c>
      <x:c r="F131" t="str">
        <x:v>Magnesium</x:v>
      </x:c>
      <x:c r="G131" t="str">
        <x:v>Hypermagnesaemia</x:v>
      </x:c>
      <x:c r="H131" t="n">
        <x:v>3.51</x:v>
      </x:c>
      <x:c r="I131" t="str">
        <x:v>mmol/L</x:v>
      </x:c>
      <x:c r="J131" s="22" t="str">
        <x:v>General adult presentation</x:v>
      </x:c>
      <x:c r="K131" s="22" t="str">
        <x:v>No</x:v>
      </x:c>
      <x:c r="L131" s="22" t="str">
        <x:v>No</x:v>
      </x:c>
      <x:c r="M131" s="22" t="n">
        <x:v>2.46</x:v>
      </x:c>
      <x:c r="N131" s="22" t="str">
        <x:v>None</x:v>
      </x:c>
      <x:c r="O131" s="22" t="str">
        <x:v>No</x:v>
      </x:c>
      <x:c r="P131" s="22" t="str">
        <x:v>No</x:v>
      </x:c>
      <x:c r="Q131" s="22" t="str">
        <x:v>Not applicable</x:v>
      </x:c>
      <x:c r="R131" s="22" t="str">
        <x:v>Not applicable</x:v>
      </x:c>
      <x:c r="S131" s="22" t="str">
        <x:v>No</x:v>
      </x:c>
      <x:c r="T131" s="22" t="str">
        <x:v>No</x:v>
      </x:c>
      <x:c r="U131" s="22" t="str">
        <x:v>No</x:v>
      </x:c>
      <x:c r="V131" s="22" t="str">
        <x:v>None reported</x:v>
      </x:c>
      <x:c r="W131" s="22" t="str">
        <x:v>No</x:v>
      </x:c>
      <x:c r="X131" s="22" t="str">
        <x:v>Hypervolaemic</x:v>
      </x:c>
      <x:c r="Y131" s="22" t="n">
        <x:v>103.6</x:v>
      </x:c>
      <x:c r="Z131" s="22" t="str">
        <x:v>NICE-UNSUPPORTED-001</x:v>
      </x:c>
      <x:c r="AA131" s="22" t="str">
        <x:v>No definitive NICE-only management</x:v>
      </x:c>
      <x:c r="AB131" s="22" t="str">
        <x:v>Clinical review required</x:v>
      </x:c>
      <x:c r="AC131" s="22" t="str">
        <x:v>No definitive NICE-only management output</x:v>
      </x:c>
      <x:c r="AD131" s="22" t="str">
        <x:v>Do not generate treatment instructions. Display that an approved local protocol or specialist review is required.</x:v>
      </x:c>
      <x:c r="AE131" s="22" t="str">
        <x:v>This is a safety rule, not a treatment recommendation.</x:v>
      </x:c>
      <x:c r="AF131" s="22" t="str"/>
      <x:c r="AG131" s="22" t="str"/>
      <x:c r="AH131" s="22" t="str">
        <x:v>Hypermagnesaemia adult General adult presentation guideline systematic review clinical review</x:v>
      </x:c>
      <x:c r="AI131" s="22" t="str">
        <x:v>train</x:v>
      </x:c>
      <x:c r="AJ131" s="22" t="str">
        <x:v>Yes</x:v>
      </x:c>
      <x:c r="AK131" s="22" t="str">
        <x:v>Pending</x:v>
      </x:c>
    </x:row>
    <x:row r="132">
      <x:c r="A132" t="str">
        <x:v>CASE-0615</x:v>
      </x:c>
      <x:c r="B132" s="22" t="str">
        <x:v>34-year-old female with hypomagnesaemia. Magnesium is 0.63 mmol/L; baseline is 0.46 mmol/L. Context: General adult presentation. Symptoms: None reported. IV fluids: No; CKD stage: None; heart failure: No; AKI: No; dialysis: No; eGFR: 20.6 mL/min/1.73m².</x:v>
      </x:c>
      <x:c r="C132" t="n">
        <x:v>34</x:v>
      </x:c>
      <x:c r="D132" t="str">
        <x:v>Female</x:v>
      </x:c>
      <x:c r="E132" t="str">
        <x:v>Not pregnant</x:v>
      </x:c>
      <x:c r="F132" t="str">
        <x:v>Magnesium</x:v>
      </x:c>
      <x:c r="G132" t="str">
        <x:v>Hypomagnesaemia</x:v>
      </x:c>
      <x:c r="H132" t="n">
        <x:v>0.63</x:v>
      </x:c>
      <x:c r="I132" t="str">
        <x:v>mmol/L</x:v>
      </x:c>
      <x:c r="J132" s="22" t="str">
        <x:v>General adult presentation</x:v>
      </x:c>
      <x:c r="K132" s="22" t="str">
        <x:v>No</x:v>
      </x:c>
      <x:c r="L132" s="22" t="str">
        <x:v>No</x:v>
      </x:c>
      <x:c r="M132" s="22" t="n">
        <x:v>0.46</x:v>
      </x:c>
      <x:c r="N132" s="22" t="str">
        <x:v>None</x:v>
      </x:c>
      <x:c r="O132" s="22" t="str">
        <x:v>No</x:v>
      </x:c>
      <x:c r="P132" s="22" t="str">
        <x:v>No</x:v>
      </x:c>
      <x:c r="Q132" s="22" t="str">
        <x:v>Not applicable</x:v>
      </x:c>
      <x:c r="R132" s="22" t="str">
        <x:v>Not applicable</x:v>
      </x:c>
      <x:c r="S132" s="22" t="str">
        <x:v>No</x:v>
      </x:c>
      <x:c r="T132" s="22" t="str">
        <x:v>No</x:v>
      </x:c>
      <x:c r="U132" s="22" t="str">
        <x:v>No</x:v>
      </x:c>
      <x:c r="V132" s="22" t="str">
        <x:v>None reported</x:v>
      </x:c>
      <x:c r="W132" s="22" t="str">
        <x:v>No</x:v>
      </x:c>
      <x:c r="X132" s="22" t="str">
        <x:v>Hypervolaemic</x:v>
      </x:c>
      <x:c r="Y132" s="22" t="n">
        <x:v>20.6</x:v>
      </x:c>
      <x:c r="Z132" s="22" t="str">
        <x:v>NICE-UNSUPPORTED-001</x:v>
      </x:c>
      <x:c r="AA132" s="22" t="str">
        <x:v>No definitive NICE-only management</x:v>
      </x:c>
      <x:c r="AB132" s="22" t="str">
        <x:v>Clinical review required</x:v>
      </x:c>
      <x:c r="AC132" s="22" t="str">
        <x:v>No definitive NICE-only management output</x:v>
      </x:c>
      <x:c r="AD132" s="22" t="str">
        <x:v>Do not generate treatment instructions. Display that an approved local protocol or specialist review is required.</x:v>
      </x:c>
      <x:c r="AE132" s="22" t="str">
        <x:v>This is a safety rule, not a treatment recommendation.</x:v>
      </x:c>
      <x:c r="AF132" s="22" t="str"/>
      <x:c r="AG132" s="22" t="str"/>
      <x:c r="AH132" s="22" t="str">
        <x:v>Hypomagnesaemia adult General adult presentation guideline systematic review clinical review</x:v>
      </x:c>
      <x:c r="AI132" s="22" t="str">
        <x:v>train</x:v>
      </x:c>
      <x:c r="AJ132" s="22" t="str">
        <x:v>Yes</x:v>
      </x:c>
      <x:c r="AK132" s="22" t="str">
        <x:v>Pending</x:v>
      </x:c>
    </x:row>
    <x:row r="133">
      <x:c r="A133" t="str">
        <x:v>CASE-0606</x:v>
      </x:c>
      <x:c r="B133" s="22" t="str">
        <x:v>84-year-old female with hypomagnesaemia. Magnesium is 0.55 mmol/L; baseline is 0.63 mmol/L. Context: General adult presentation. Symptoms: cramps, palpitations. IV fluids: No; CKD stage: None; heart failure: No; AKI: No; dialysis: No; eGFR: 98.7 mL/min/1.73m².</x:v>
      </x:c>
      <x:c r="C133" t="n">
        <x:v>84</x:v>
      </x:c>
      <x:c r="D133" t="str">
        <x:v>Female</x:v>
      </x:c>
      <x:c r="E133" t="str">
        <x:v>Not applicable</x:v>
      </x:c>
      <x:c r="F133" t="str">
        <x:v>Magnesium</x:v>
      </x:c>
      <x:c r="G133" t="str">
        <x:v>Hypomagnesaemia</x:v>
      </x:c>
      <x:c r="H133" t="n">
        <x:v>0.55</x:v>
      </x:c>
      <x:c r="I133" t="str">
        <x:v>mmol/L</x:v>
      </x:c>
      <x:c r="J133" s="22" t="str">
        <x:v>General adult presentation</x:v>
      </x:c>
      <x:c r="K133" s="22" t="str">
        <x:v>No</x:v>
      </x:c>
      <x:c r="L133" s="22" t="str">
        <x:v>No</x:v>
      </x:c>
      <x:c r="M133" s="22" t="n">
        <x:v>0.63</x:v>
      </x:c>
      <x:c r="N133" s="22" t="str">
        <x:v>None</x:v>
      </x:c>
      <x:c r="O133" s="22" t="str">
        <x:v>No</x:v>
      </x:c>
      <x:c r="P133" s="22" t="str">
        <x:v>No</x:v>
      </x:c>
      <x:c r="Q133" s="22" t="str">
        <x:v>Not applicable</x:v>
      </x:c>
      <x:c r="R133" s="22" t="str">
        <x:v>Not applicable</x:v>
      </x:c>
      <x:c r="S133" s="22" t="str">
        <x:v>No</x:v>
      </x:c>
      <x:c r="T133" s="22" t="str">
        <x:v>No</x:v>
      </x:c>
      <x:c r="U133" s="22" t="str">
        <x:v>No</x:v>
      </x:c>
      <x:c r="V133" s="22" t="str">
        <x:v>cramps, palpitations</x:v>
      </x:c>
      <x:c r="W133" s="22" t="str">
        <x:v>No</x:v>
      </x:c>
      <x:c r="X133" s="22" t="str">
        <x:v>Euvolaemic</x:v>
      </x:c>
      <x:c r="Y133" s="22" t="n">
        <x:v>98.7</x:v>
      </x:c>
      <x:c r="Z133" s="22" t="str">
        <x:v>NICE-UNSUPPORTED-001</x:v>
      </x:c>
      <x:c r="AA133" s="22" t="str">
        <x:v>No definitive NICE-only management</x:v>
      </x:c>
      <x:c r="AB133" s="22" t="str">
        <x:v>Clinical review required</x:v>
      </x:c>
      <x:c r="AC133" s="22" t="str">
        <x:v>No definitive NICE-only management output</x:v>
      </x:c>
      <x:c r="AD133" s="22" t="str">
        <x:v>Do not generate treatment instructions. Display that an approved local protocol or specialist review is required.</x:v>
      </x:c>
      <x:c r="AE133" s="22" t="str">
        <x:v>This is a safety rule, not a treatment recommendation.</x:v>
      </x:c>
      <x:c r="AF133" s="22" t="str"/>
      <x:c r="AG133" s="22" t="str"/>
      <x:c r="AH133" s="22" t="str">
        <x:v>Hypomagnesaemia adult General adult presentation guideline systematic review clinical review</x:v>
      </x:c>
      <x:c r="AI133" s="22" t="str">
        <x:v>train</x:v>
      </x:c>
      <x:c r="AJ133" s="22" t="str">
        <x:v>Yes</x:v>
      </x:c>
      <x:c r="AK133" s="22" t="str">
        <x:v>Pending</x:v>
      </x:c>
    </x:row>
    <x:row r="134">
      <x:c r="A134" t="str">
        <x:v>CASE-0248</x:v>
      </x:c>
      <x:c r="B134" s="22" t="str">
        <x:v>70-year-old female with hypokalaemia. Potassium is 2.94 mmol/L; baseline is 2.18 mmol/L. Context: General adult presentation. Symptoms: muscle cramps, constipation. IV fluids: No; CKD stage: None; heart failure: No; AKI: No; dialysis: No; eGFR: 57.0 mL/min/1.73m².</x:v>
      </x:c>
      <x:c r="C134" t="n">
        <x:v>70</x:v>
      </x:c>
      <x:c r="D134" t="str">
        <x:v>Female</x:v>
      </x:c>
      <x:c r="E134" t="str">
        <x:v>Not applicable</x:v>
      </x:c>
      <x:c r="F134" t="str">
        <x:v>Potassium</x:v>
      </x:c>
      <x:c r="G134" t="str">
        <x:v>Hypokalaemia</x:v>
      </x:c>
      <x:c r="H134" t="n">
        <x:v>2.94</x:v>
      </x:c>
      <x:c r="I134" t="str">
        <x:v>mmol/L</x:v>
      </x:c>
      <x:c r="J134" s="22" t="str">
        <x:v>General adult presentation</x:v>
      </x:c>
      <x:c r="K134" s="22" t="str">
        <x:v>No</x:v>
      </x:c>
      <x:c r="L134" s="22" t="str">
        <x:v>No</x:v>
      </x:c>
      <x:c r="M134" s="22" t="n">
        <x:v>2.18</x:v>
      </x:c>
      <x:c r="N134" s="22" t="str">
        <x:v>None</x:v>
      </x:c>
      <x:c r="O134" s="22" t="str">
        <x:v>No</x:v>
      </x:c>
      <x:c r="P134" s="22" t="str">
        <x:v>No</x:v>
      </x:c>
      <x:c r="Q134" s="22" t="str">
        <x:v>Not applicable</x:v>
      </x:c>
      <x:c r="R134" s="22" t="str">
        <x:v>Not applicable</x:v>
      </x:c>
      <x:c r="S134" s="22" t="str">
        <x:v>No</x:v>
      </x:c>
      <x:c r="T134" s="22" t="str">
        <x:v>No</x:v>
      </x:c>
      <x:c r="U134" s="22" t="str">
        <x:v>No</x:v>
      </x:c>
      <x:c r="V134" s="22" t="str">
        <x:v>muscle cramps, constipation</x:v>
      </x:c>
      <x:c r="W134" s="22" t="str">
        <x:v>No</x:v>
      </x:c>
      <x:c r="X134" s="22" t="str">
        <x:v>Hypervolaemic</x:v>
      </x:c>
      <x:c r="Y134" s="22" t="n">
        <x:v>57</x:v>
      </x:c>
      <x:c r="Z134" s="22" t="str">
        <x:v>NICE-UNSUPPORTED-001</x:v>
      </x:c>
      <x:c r="AA134" s="22" t="str">
        <x:v>No definitive NICE-only management</x:v>
      </x:c>
      <x:c r="AB134" s="22" t="str">
        <x:v>Clinical review required</x:v>
      </x:c>
      <x:c r="AC134" s="22" t="str">
        <x:v>No definitive NICE-only management output</x:v>
      </x:c>
      <x:c r="AD134" s="22" t="str">
        <x:v>Do not generate treatment instructions. Display that an approved local protocol or specialist review is required.</x:v>
      </x:c>
      <x:c r="AE134" s="22" t="str">
        <x:v>This is a safety rule, not a treatment recommendation.</x:v>
      </x:c>
      <x:c r="AF134" s="22" t="str"/>
      <x:c r="AG134" s="22" t="str"/>
      <x:c r="AH134" s="22" t="str">
        <x:v>Hypokalaemia adult General adult presentation guideline systematic review clinical review</x:v>
      </x:c>
      <x:c r="AI134" s="22" t="str">
        <x:v>train</x:v>
      </x:c>
      <x:c r="AJ134" s="22" t="str">
        <x:v>Yes</x:v>
      </x:c>
      <x:c r="AK134" s="22" t="str">
        <x:v>Pending</x:v>
      </x:c>
    </x:row>
    <x:row r="135">
      <x:c r="A135" t="str">
        <x:v>CASE-0482</x:v>
      </x:c>
      <x:c r="B135" s="22" t="str">
        <x:v>84-year-old female with hypocalcaemia. Adjusted calcium is 1.94 mmol/L; baseline is 1.67 mmol/L. Context: General adult presentation. Symptoms: tingling, tetany, muscle cramps. IV fluids: No; CKD stage: None; heart failure: No; AKI: No; dialysis: No; eGFR: 89.4 mL/min/1.73m².</x:v>
      </x:c>
      <x:c r="C135" t="n">
        <x:v>84</x:v>
      </x:c>
      <x:c r="D135" t="str">
        <x:v>Female</x:v>
      </x:c>
      <x:c r="E135" t="str">
        <x:v>Not applicable</x:v>
      </x:c>
      <x:c r="F135" t="str">
        <x:v>Adjusted calcium</x:v>
      </x:c>
      <x:c r="G135" t="str">
        <x:v>Hypocalcaemia</x:v>
      </x:c>
      <x:c r="H135" t="n">
        <x:v>1.94</x:v>
      </x:c>
      <x:c r="I135" t="str">
        <x:v>mmol/L</x:v>
      </x:c>
      <x:c r="J135" s="22" t="str">
        <x:v>General adult presentation</x:v>
      </x:c>
      <x:c r="K135" s="22" t="str">
        <x:v>No</x:v>
      </x:c>
      <x:c r="L135" s="22" t="str">
        <x:v>No</x:v>
      </x:c>
      <x:c r="M135" s="22" t="n">
        <x:v>1.67</x:v>
      </x:c>
      <x:c r="N135" s="22" t="str">
        <x:v>None</x:v>
      </x:c>
      <x:c r="O135" s="22" t="str">
        <x:v>No</x:v>
      </x:c>
      <x:c r="P135" s="22" t="str">
        <x:v>No</x:v>
      </x:c>
      <x:c r="Q135" s="22" t="str">
        <x:v>Not applicable</x:v>
      </x:c>
      <x:c r="R135" s="22" t="str">
        <x:v>Not applicable</x:v>
      </x:c>
      <x:c r="S135" s="22" t="str">
        <x:v>No</x:v>
      </x:c>
      <x:c r="T135" s="22" t="str">
        <x:v>No</x:v>
      </x:c>
      <x:c r="U135" s="22" t="str">
        <x:v>No</x:v>
      </x:c>
      <x:c r="V135" s="22" t="str">
        <x:v>tingling, tetany, muscle cramps</x:v>
      </x:c>
      <x:c r="W135" s="22" t="str">
        <x:v>No</x:v>
      </x:c>
      <x:c r="X135" s="22" t="str">
        <x:v>Euvolaemic</x:v>
      </x:c>
      <x:c r="Y135" s="22" t="n">
        <x:v>89.4</x:v>
      </x:c>
      <x:c r="Z135" s="22" t="str">
        <x:v>NICE-UNSUPPORTED-001</x:v>
      </x:c>
      <x:c r="AA135" s="22" t="str">
        <x:v>No definitive NICE-only management</x:v>
      </x:c>
      <x:c r="AB135" s="22" t="str">
        <x:v>Clinical review required</x:v>
      </x:c>
      <x:c r="AC135" s="22" t="str">
        <x:v>No definitive NICE-only management output</x:v>
      </x:c>
      <x:c r="AD135" s="22" t="str">
        <x:v>Do not generate treatment instructions. Display that an approved local protocol or specialist review is required.</x:v>
      </x:c>
      <x:c r="AE135" s="22" t="str">
        <x:v>This is a safety rule, not a treatment recommendation.</x:v>
      </x:c>
      <x:c r="AF135" s="22" t="str"/>
      <x:c r="AG135" s="22" t="str"/>
      <x:c r="AH135" s="22" t="str">
        <x:v>Hypocalcaemia adult General adult presentation guideline systematic review clinical review</x:v>
      </x:c>
      <x:c r="AI135" s="22" t="str">
        <x:v>validation</x:v>
      </x:c>
      <x:c r="AJ135" s="22" t="str">
        <x:v>Yes</x:v>
      </x:c>
      <x:c r="AK135" s="22" t="str">
        <x:v>Pending</x:v>
      </x:c>
    </x:row>
    <x:row r="136">
      <x:c r="A136" t="str">
        <x:v>CASE-0522</x:v>
      </x:c>
      <x:c r="B136" s="22" t="str">
        <x:v>41-year-old male with hypercalcaemia. Adjusted calcium is 2.65 mmol/L; baseline is 3.79 mmol/L. Context: Confirmed primary hyperparathyroidism. Symptoms: None reported. IV fluids: No; CKD stage: None; heart failure: No; AKI: No; dialysis: No; eGFR: 17.3 mL/min/1.73m².</x:v>
      </x:c>
      <x:c r="C136" t="n">
        <x:v>41</x:v>
      </x:c>
      <x:c r="D136" t="str">
        <x:v>Male</x:v>
      </x:c>
      <x:c r="E136" t="str">
        <x:v>Not applicable</x:v>
      </x:c>
      <x:c r="F136" t="str">
        <x:v>Adjusted calcium</x:v>
      </x:c>
      <x:c r="G136" t="str">
        <x:v>Hypercalcaemia</x:v>
      </x:c>
      <x:c r="H136" t="n">
        <x:v>2.65</x:v>
      </x:c>
      <x:c r="I136" t="str">
        <x:v>mmol/L</x:v>
      </x:c>
      <x:c r="J136" s="22" t="str">
        <x:v>Confirmed primary hyperparathyroidism</x:v>
      </x:c>
      <x:c r="K136" s="22" t="str">
        <x:v>No</x:v>
      </x:c>
      <x:c r="L136" s="22" t="str">
        <x:v>No</x:v>
      </x:c>
      <x:c r="M136" s="22" t="n">
        <x:v>3.79</x:v>
      </x:c>
      <x:c r="N136" s="22" t="str">
        <x:v>None</x:v>
      </x:c>
      <x:c r="O136" s="22" t="str">
        <x:v>No</x:v>
      </x:c>
      <x:c r="P136" s="22" t="str">
        <x:v>No</x:v>
      </x:c>
      <x:c r="Q136" s="22" t="str">
        <x:v>Not applicable</x:v>
      </x:c>
      <x:c r="R136" s="22" t="str">
        <x:v>Not applicable</x:v>
      </x:c>
      <x:c r="S136" s="22" t="str">
        <x:v>No</x:v>
      </x:c>
      <x:c r="T136" s="22" t="str">
        <x:v>Yes</x:v>
      </x:c>
      <x:c r="U136" s="22" t="str">
        <x:v>No</x:v>
      </x:c>
      <x:c r="V136" s="22" t="str">
        <x:v>None reported</x:v>
      </x:c>
      <x:c r="W136" s="22" t="str">
        <x:v>No</x:v>
      </x:c>
      <x:c r="X136" s="22" t="str">
        <x:v>Uncertain</x:v>
      </x:c>
      <x:c r="Y136" s="22" t="n">
        <x:v>17.3</x:v>
      </x:c>
      <x:c r="Z136" s="22" t="str">
        <x:v>NICE-CA-PHPT-SCREEN-001</x:v>
      </x:c>
      <x:c r="AA136" s="22" t="str">
        <x:v>Specific context-based NICE guidance</x:v>
      </x:c>
      <x:c r="AB136" s="22" t="str">
        <x:v>Diagnostic assessment</x:v>
      </x:c>
      <x:c r="AC136" s="22" t="str">
        <x:v>Specific NICE diagnostic guidance</x:v>
      </x:c>
      <x:c r="AD136" s="22" t="str">
        <x:v>Use albumin-adjusted serum calcium in the NICE diagnostic pathway for primary hyperparathyroidism.</x:v>
      </x:c>
      <x:c r="AE136" s="22" t="str">
        <x:v>Not an acute general hypercalcaemia pathway.</x:v>
      </x:c>
      <x:c r="AF136" s="22" t="str">
        <x:v>NICE-NG132</x:v>
      </x:c>
      <x:c r="AG136" s="22" t="str">
        <x:v>1.1.1 and Terms used</x:v>
      </x:c>
      <x:c r="AH136" s="22" t="str">
        <x:v>Hypercalcaemia adult Confirmed primary hyperparathyroidism guideline systematic review clinical review</x:v>
      </x:c>
      <x:c r="AI136" s="22" t="str">
        <x:v>validation</x:v>
      </x:c>
      <x:c r="AJ136" s="22" t="str">
        <x:v>Yes</x:v>
      </x:c>
      <x:c r="AK136" s="22" t="str">
        <x:v>Pending</x:v>
      </x:c>
    </x:row>
    <x:row r="137">
      <x:c r="A137" t="str">
        <x:v>CASE-0340</x:v>
      </x:c>
      <x:c r="B137" s="22" t="str">
        <x:v>85-year-old female with hyperkalaemia. Potassium is 5.68 mmol/L; baseline is 5.44 mmol/L. Context: CKD on RAAS antagonist. Symptoms: None reported. IV fluids: No; CKD stage: 3b; heart failure: No; AKI: No; dialysis: No; eGFR: 27.2 mL/min/1.73m².</x:v>
      </x:c>
      <x:c r="C137" t="n">
        <x:v>85</x:v>
      </x:c>
      <x:c r="D137" t="str">
        <x:v>Female</x:v>
      </x:c>
      <x:c r="E137" t="str">
        <x:v>Not applicable</x:v>
      </x:c>
      <x:c r="F137" t="str">
        <x:v>Potassium</x:v>
      </x:c>
      <x:c r="G137" t="str">
        <x:v>Hyperkalaemia</x:v>
      </x:c>
      <x:c r="H137" t="n">
        <x:v>5.68</x:v>
      </x:c>
      <x:c r="I137" t="str">
        <x:v>mmol/L</x:v>
      </x:c>
      <x:c r="J137" s="22" t="str">
        <x:v>CKD on RAAS antagonist</x:v>
      </x:c>
      <x:c r="K137" s="22" t="str">
        <x:v>No</x:v>
      </x:c>
      <x:c r="L137" s="22" t="str">
        <x:v>No</x:v>
      </x:c>
      <x:c r="M137" s="22" t="n">
        <x:v>5.44</x:v>
      </x:c>
      <x:c r="N137" s="22" t="str">
        <x:v>3b</x:v>
      </x:c>
      <x:c r="O137" s="22" t="str">
        <x:v>No</x:v>
      </x:c>
      <x:c r="P137" s="22" t="str">
        <x:v>No</x:v>
      </x:c>
      <x:c r="Q137" s="22" t="str">
        <x:v>Taking</x:v>
      </x:c>
      <x:c r="R137" s="22" t="str">
        <x:v>No</x:v>
      </x:c>
      <x:c r="S137" s="22" t="str">
        <x:v>No</x:v>
      </x:c>
      <x:c r="T137" s="22" t="str">
        <x:v>No</x:v>
      </x:c>
      <x:c r="U137" s="22" t="str">
        <x:v>No</x:v>
      </x:c>
      <x:c r="V137" s="22" t="str">
        <x:v>None reported</x:v>
      </x:c>
      <x:c r="W137" s="22" t="str">
        <x:v>No</x:v>
      </x:c>
      <x:c r="X137" s="22" t="str">
        <x:v>Uncertain</x:v>
      </x:c>
      <x:c r="Y137" s="22" t="n">
        <x:v>27.2</x:v>
      </x:c>
      <x:c r="Z137" s="22" t="str">
        <x:v>NICE-UNSUPPORTED-001</x:v>
      </x:c>
      <x:c r="AA137" s="22" t="str">
        <x:v>No definitive NICE-only management</x:v>
      </x:c>
      <x:c r="AB137" s="22" t="str">
        <x:v>Clinical review required</x:v>
      </x:c>
      <x:c r="AC137" s="22" t="str">
        <x:v>No definitive NICE-only management output</x:v>
      </x:c>
      <x:c r="AD137" s="22" t="str">
        <x:v>Do not generate treatment instructions. Display that an approved local protocol or specialist review is required.</x:v>
      </x:c>
      <x:c r="AE137" s="22" t="str">
        <x:v>This is a safety rule, not a treatment recommendation.</x:v>
      </x:c>
      <x:c r="AF137" s="22" t="str"/>
      <x:c r="AG137" s="22" t="str"/>
      <x:c r="AH137" s="22" t="str">
        <x:v>Hyperkalaemia adult CKD on RAAS antagonist guideline systematic review clinical review</x:v>
      </x:c>
      <x:c r="AI137" s="22" t="str">
        <x:v>validation</x:v>
      </x:c>
      <x:c r="AJ137" s="22" t="str">
        <x:v>Yes</x:v>
      </x:c>
      <x:c r="AK137" s="22" t="str">
        <x:v>Pending</x:v>
      </x:c>
    </x:row>
    <x:row r="138">
      <x:c r="A138" t="str">
        <x:v>CASE-0127</x:v>
      </x:c>
      <x:c r="B138" s="22" t="str">
        <x:v>30-year-old female with hypernatraemia. Sodium is 171.2 mmol/L; baseline is 154.7 mmol/L. Context: General adult presentation. Symptoms: lethargy. IV fluids: No; CKD stage: None; heart failure: No; AKI: No; dialysis: No; eGFR: 73.4 mL/min/1.73m².</x:v>
      </x:c>
      <x:c r="C138" t="n">
        <x:v>30</x:v>
      </x:c>
      <x:c r="D138" t="str">
        <x:v>Female</x:v>
      </x:c>
      <x:c r="E138" t="str">
        <x:v>Not pregnant</x:v>
      </x:c>
      <x:c r="F138" t="str">
        <x:v>Sodium</x:v>
      </x:c>
      <x:c r="G138" t="str">
        <x:v>Hypernatraemia</x:v>
      </x:c>
      <x:c r="H138" t="n">
        <x:v>171.2</x:v>
      </x:c>
      <x:c r="I138" t="str">
        <x:v>mmol/L</x:v>
      </x:c>
      <x:c r="J138" s="22" t="str">
        <x:v>General adult presentation</x:v>
      </x:c>
      <x:c r="K138" s="22" t="str">
        <x:v>No</x:v>
      </x:c>
      <x:c r="L138" s="22" t="str">
        <x:v>No</x:v>
      </x:c>
      <x:c r="M138" s="22" t="n">
        <x:v>154.7</x:v>
      </x:c>
      <x:c r="N138" s="22" t="str">
        <x:v>None</x:v>
      </x:c>
      <x:c r="O138" s="22" t="str">
        <x:v>No</x:v>
      </x:c>
      <x:c r="P138" s="22" t="str">
        <x:v>No</x:v>
      </x:c>
      <x:c r="Q138" s="22" t="str">
        <x:v>Not applicable</x:v>
      </x:c>
      <x:c r="R138" s="22" t="str">
        <x:v>Not applicable</x:v>
      </x:c>
      <x:c r="S138" s="22" t="str">
        <x:v>No</x:v>
      </x:c>
      <x:c r="T138" s="22" t="str">
        <x:v>No</x:v>
      </x:c>
      <x:c r="U138" s="22" t="str">
        <x:v>No</x:v>
      </x:c>
      <x:c r="V138" s="22" t="str">
        <x:v>lethargy</x:v>
      </x:c>
      <x:c r="W138" s="22" t="str">
        <x:v>No</x:v>
      </x:c>
      <x:c r="X138" s="22" t="str">
        <x:v>Euvolaemic</x:v>
      </x:c>
      <x:c r="Y138" s="22" t="n">
        <x:v>73.4</x:v>
      </x:c>
      <x:c r="Z138" s="22" t="str">
        <x:v>NICE-UNSUPPORTED-001</x:v>
      </x:c>
      <x:c r="AA138" s="22" t="str">
        <x:v>No definitive NICE-only management</x:v>
      </x:c>
      <x:c r="AB138" s="22" t="str">
        <x:v>Clinical review required</x:v>
      </x:c>
      <x:c r="AC138" s="22" t="str">
        <x:v>No definitive NICE-only management output</x:v>
      </x:c>
      <x:c r="AD138" s="22" t="str">
        <x:v>Do not generate treatment instructions. Display that an approved local protocol or specialist review is required.</x:v>
      </x:c>
      <x:c r="AE138" s="22" t="str">
        <x:v>This is a safety rule, not a treatment recommendation.</x:v>
      </x:c>
      <x:c r="AF138" s="22" t="str"/>
      <x:c r="AG138" s="22" t="str"/>
      <x:c r="AH138" s="22" t="str">
        <x:v>Hypernatraemia adult General adult presentation guideline systematic review clinical review</x:v>
      </x:c>
      <x:c r="AI138" s="22" t="str">
        <x:v>test</x:v>
      </x:c>
      <x:c r="AJ138" s="22" t="str">
        <x:v>Yes</x:v>
      </x:c>
      <x:c r="AK138" s="22" t="str">
        <x:v>Pending</x:v>
      </x:c>
    </x:row>
    <x:row r="139">
      <x:c r="A139" t="str">
        <x:v>CASE-0887</x:v>
      </x:c>
      <x:c r="B139" s="22" t="str">
        <x:v>71-year-old male with no detected potassium abnormality. Potassium is 4.65 mmol/L. General adult presentation.</x:v>
      </x:c>
      <x:c r="C139" t="n">
        <x:v>71</x:v>
      </x:c>
      <x:c r="D139" t="str">
        <x:v>Male</x:v>
      </x:c>
      <x:c r="E139" t="str">
        <x:v>Not applicable</x:v>
      </x:c>
      <x:c r="F139" t="str">
        <x:v>Potassium</x:v>
      </x:c>
      <x:c r="G139" t="str">
        <x:v>No abnormality detected</x:v>
      </x:c>
      <x:c r="H139" t="n">
        <x:v>4.65</x:v>
      </x:c>
      <x:c r="I139" t="str">
        <x:v>mmol/L</x:v>
      </x:c>
      <x:c r="J139" s="22" t="str">
        <x:v>General adult presentation</x:v>
      </x:c>
      <x:c r="K139" s="22" t="str">
        <x:v>No</x:v>
      </x:c>
      <x:c r="L139" s="22" t="str">
        <x:v>No</x:v>
      </x:c>
      <x:c r="M139" s="22" t="n">
        <x:v>4.65</x:v>
      </x:c>
      <x:c r="N139" s="22" t="str">
        <x:v>None</x:v>
      </x:c>
      <x:c r="O139" s="22" t="str">
        <x:v>No</x:v>
      </x:c>
      <x:c r="P139" s="22" t="str">
        <x:v>No</x:v>
      </x:c>
      <x:c r="Q139" s="22" t="str">
        <x:v>Not applicable</x:v>
      </x:c>
      <x:c r="R139" s="22" t="str">
        <x:v>Not applicable</x:v>
      </x:c>
      <x:c r="S139" s="22" t="str">
        <x:v>No</x:v>
      </x:c>
      <x:c r="T139" s="22" t="str">
        <x:v>No</x:v>
      </x:c>
      <x:c r="U139" s="22" t="str">
        <x:v>No</x:v>
      </x:c>
      <x:c r="V139" s="22" t="str">
        <x:v>None reported</x:v>
      </x:c>
      <x:c r="W139" s="22" t="str">
        <x:v>No</x:v>
      </x:c>
      <x:c r="X139" s="22" t="str">
        <x:v>Euvolaemic</x:v>
      </x:c>
      <x:c r="Y139" s="22" t="n">
        <x:v>111.7</x:v>
      </x:c>
      <x:c r="Z139" s="22" t="str">
        <x:v>NICE-GLOBAL-ASSESS-001</x:v>
      </x:c>
      <x:c r="AA139" s="22" t="str">
        <x:v>General NICE assessment only</x:v>
      </x:c>
      <x:c r="AB139" s="22" t="str">
        <x:v>Routine review</x:v>
      </x:c>
      <x:c r="AC139" s="22" t="str">
        <x:v>No abnormality-specific management</x:v>
      </x:c>
      <x:c r="AD139" s="22" t="str">
        <x:v>No electrolyte abnormality is detected by the synthetic reference range; interpret the result with the full clinical picture.</x:v>
      </x:c>
      <x:c r="AE139" s="22" t="str">
        <x:v>Synthetic reference ranges are not NICE management thresholds.</x:v>
      </x:c>
      <x:c r="AF139" s="22" t="str">
        <x:v>NICE-CG174</x:v>
      </x:c>
      <x:c r="AG139" s="22" t="str">
        <x:v>1.1.1 and 1.2.2</x:v>
      </x:c>
      <x:c r="AH139" s="22" t="str">
        <x:v>Potassium reference interval adult laboratory interpretation</x:v>
      </x:c>
      <x:c r="AI139" s="22" t="str">
        <x:v>test</x:v>
      </x:c>
      <x:c r="AJ139" s="22" t="str">
        <x:v>Yes</x:v>
      </x:c>
      <x:c r="AK139" s="22" t="str">
        <x:v>Pending</x:v>
      </x:c>
    </x:row>
    <x:row r="140">
      <x:c r="A140" t="str">
        <x:v>CASE-0640</x:v>
      </x:c>
      <x:c r="B140" s="22" t="str">
        <x:v>70-year-old female with hypomagnesaemia. Magnesium is 0.36 mmol/L; baseline is 0.36 mmol/L. Context: General adult presentation. Symptoms: None reported. IV fluids: No; CKD stage: None; heart failure: No; AKI: No; dialysis: No; eGFR: 120.0 mL/min/1.73m².</x:v>
      </x:c>
      <x:c r="C140" t="n">
        <x:v>70</x:v>
      </x:c>
      <x:c r="D140" t="str">
        <x:v>Female</x:v>
      </x:c>
      <x:c r="E140" t="str">
        <x:v>Not applicable</x:v>
      </x:c>
      <x:c r="F140" t="str">
        <x:v>Magnesium</x:v>
      </x:c>
      <x:c r="G140" t="str">
        <x:v>Hypomagnesaemia</x:v>
      </x:c>
      <x:c r="H140" t="n">
        <x:v>0.36</x:v>
      </x:c>
      <x:c r="I140" t="str">
        <x:v>mmol/L</x:v>
      </x:c>
      <x:c r="J140" s="22" t="str">
        <x:v>General adult presentation</x:v>
      </x:c>
      <x:c r="K140" s="22" t="str">
        <x:v>No</x:v>
      </x:c>
      <x:c r="L140" s="22" t="str">
        <x:v>No</x:v>
      </x:c>
      <x:c r="M140" s="22" t="n">
        <x:v>0.36</x:v>
      </x:c>
      <x:c r="N140" s="22" t="str">
        <x:v>None</x:v>
      </x:c>
      <x:c r="O140" s="22" t="str">
        <x:v>No</x:v>
      </x:c>
      <x:c r="P140" s="22" t="str">
        <x:v>No</x:v>
      </x:c>
      <x:c r="Q140" s="22" t="str">
        <x:v>Not applicable</x:v>
      </x:c>
      <x:c r="R140" s="22" t="str">
        <x:v>Not applicable</x:v>
      </x:c>
      <x:c r="S140" s="22" t="str">
        <x:v>No</x:v>
      </x:c>
      <x:c r="T140" s="22" t="str">
        <x:v>No</x:v>
      </x:c>
      <x:c r="U140" s="22" t="str">
        <x:v>No</x:v>
      </x:c>
      <x:c r="V140" s="22" t="str">
        <x:v>None reported</x:v>
      </x:c>
      <x:c r="W140" s="22" t="str">
        <x:v>No</x:v>
      </x:c>
      <x:c r="X140" s="22" t="str">
        <x:v>Euvolaemic</x:v>
      </x:c>
      <x:c r="Y140" s="22" t="n">
        <x:v>120</x:v>
      </x:c>
      <x:c r="Z140" s="22" t="str">
        <x:v>NICE-UNSUPPORTED-001</x:v>
      </x:c>
      <x:c r="AA140" s="22" t="str">
        <x:v>No definitive NICE-only management</x:v>
      </x:c>
      <x:c r="AB140" s="22" t="str">
        <x:v>Clinical review required</x:v>
      </x:c>
      <x:c r="AC140" s="22" t="str">
        <x:v>No definitive NICE-only management output</x:v>
      </x:c>
      <x:c r="AD140" s="22" t="str">
        <x:v>Do not generate treatment instructions. Display that an approved local protocol or specialist review is required.</x:v>
      </x:c>
      <x:c r="AE140" s="22" t="str">
        <x:v>This is a safety rule, not a treatment recommendation.</x:v>
      </x:c>
      <x:c r="AF140" s="22" t="str"/>
      <x:c r="AG140" s="22" t="str"/>
      <x:c r="AH140" s="22" t="str">
        <x:v>Hypomagnesaemia adult General adult presentation guideline systematic review clinical review</x:v>
      </x:c>
      <x:c r="AI140" s="22" t="str">
        <x:v>test</x:v>
      </x:c>
      <x:c r="AJ140" s="22" t="str">
        <x:v>Yes</x:v>
      </x:c>
      <x:c r="AK140" s="22" t="str">
        <x:v>Pending</x:v>
      </x:c>
    </x:row>
    <x:row r="141">
      <x:c r="A141" t="str">
        <x:v>CASE-0075</x:v>
      </x:c>
      <x:c r="B141" s="22" t="str">
        <x:v>43-year-old female with hyponatraemia. Sodium is 125.1 mmol/L; baseline is 141.5 mmol/L. Context: IV-fluid-related. Symptoms: None reported. IV fluids: Yes; CKD stage: None; heart failure: No; AKI: No; dialysis: No; eGFR: 36.7 mL/min/1.73m².</x:v>
      </x:c>
      <x:c r="C141" t="n">
        <x:v>43</x:v>
      </x:c>
      <x:c r="D141" t="str">
        <x:v>Female</x:v>
      </x:c>
      <x:c r="E141" t="str">
        <x:v>Pregnant</x:v>
      </x:c>
      <x:c r="F141" t="str">
        <x:v>Sodium</x:v>
      </x:c>
      <x:c r="G141" t="str">
        <x:v>Hyponatraemia</x:v>
      </x:c>
      <x:c r="H141" t="n">
        <x:v>125.1</x:v>
      </x:c>
      <x:c r="I141" t="str">
        <x:v>mmol/L</x:v>
      </x:c>
      <x:c r="J141" s="22" t="str">
        <x:v>IV-fluid-related</x:v>
      </x:c>
      <x:c r="K141" s="22" t="str">
        <x:v>Yes</x:v>
      </x:c>
      <x:c r="L141" s="22" t="str">
        <x:v>No</x:v>
      </x:c>
      <x:c r="M141" s="22" t="n">
        <x:v>141.5</x:v>
      </x:c>
      <x:c r="N141" s="22" t="str">
        <x:v>None</x:v>
      </x:c>
      <x:c r="O141" s="22" t="str">
        <x:v>No</x:v>
      </x:c>
      <x:c r="P141" s="22" t="str">
        <x:v>No</x:v>
      </x:c>
      <x:c r="Q141" s="22" t="str">
        <x:v>Not applicable</x:v>
      </x:c>
      <x:c r="R141" s="22" t="str">
        <x:v>Not applicable</x:v>
      </x:c>
      <x:c r="S141" s="22" t="str">
        <x:v>No</x:v>
      </x:c>
      <x:c r="T141" s="22" t="str">
        <x:v>No</x:v>
      </x:c>
      <x:c r="U141" s="22" t="str">
        <x:v>No</x:v>
      </x:c>
      <x:c r="V141" s="22" t="str">
        <x:v>None reported</x:v>
      </x:c>
      <x:c r="W141" s="22" t="str">
        <x:v>No</x:v>
      </x:c>
      <x:c r="X141" s="22" t="str">
        <x:v>Hypervolaemic</x:v>
      </x:c>
      <x:c r="Y141" s="22" t="n">
        <x:v>36.7</x:v>
      </x:c>
      <x:c r="Z141" s="22" t="str">
        <x:v>NICE-NA-HYPO-IV-001</x:v>
      </x:c>
      <x:c r="AA141" s="22" t="str">
        <x:v>NICE detection / reassessment / escalation</x:v>
      </x:c>
      <x:c r="AB141" s="22" t="str">
        <x:v>Urgent review</x:v>
      </x:c>
      <x:c r="AC141" s="22" t="str">
        <x:v>NICE detection, reassessment and escalation</x:v>
      </x:c>
      <x:c r="AD141" s="22" t="str">
        <x:v>Treat as possible IV-fluid mismanagement: reassess the fluid prescription and monitoring plan, and seek expert help for a complex imbalance.</x:v>
      </x:c>
      <x:c r="AE141" s="22" t="str">
        <x:v>No definitive sodium-correction regimen is provided by CG174.</x:v>
      </x:c>
      <x:c r="AF141" s="22" t="str">
        <x:v>NICE-CG174</x:v>
      </x:c>
      <x:c r="AG141" s="22" t="str">
        <x:v>1.2.4, 1.5.1, 1.5.2, Table 1</x:v>
      </x:c>
      <x:c r="AH141" s="22" t="str">
        <x:v>Hyponatraemia adult IV-fluid-related guideline systematic review clinical review</x:v>
      </x:c>
      <x:c r="AI141" s="22" t="str">
        <x:v>train</x:v>
      </x:c>
      <x:c r="AJ141" s="22" t="str">
        <x:v>Yes</x:v>
      </x:c>
      <x:c r="AK141" s="22" t="str">
        <x:v>Pending</x:v>
      </x:c>
    </x:row>
    <x:row r="142">
      <x:c r="A142" t="str">
        <x:v>CASE-0508</x:v>
      </x:c>
      <x:c r="B142" s="22" t="str">
        <x:v>19-year-old female with hypercalcaemia. Adjusted calcium is 3.29 mmol/L; baseline is 3.27 mmol/L. Context: General adult presentation. Symptoms: polyuria. IV fluids: No; CKD stage: None; heart failure: No; AKI: No; dialysis: No; eGFR: 67.5 mL/min/1.73m².</x:v>
      </x:c>
      <x:c r="C142" t="n">
        <x:v>19</x:v>
      </x:c>
      <x:c r="D142" t="str">
        <x:v>Female</x:v>
      </x:c>
      <x:c r="E142" t="str">
        <x:v>Unknown</x:v>
      </x:c>
      <x:c r="F142" t="str">
        <x:v>Adjusted calcium</x:v>
      </x:c>
      <x:c r="G142" t="str">
        <x:v>Hypercalcaemia</x:v>
      </x:c>
      <x:c r="H142" t="n">
        <x:v>3.29</x:v>
      </x:c>
      <x:c r="I142" t="str">
        <x:v>mmol/L</x:v>
      </x:c>
      <x:c r="J142" s="22" t="str">
        <x:v>General adult presentation</x:v>
      </x:c>
      <x:c r="K142" s="22" t="str">
        <x:v>No</x:v>
      </x:c>
      <x:c r="L142" s="22" t="str">
        <x:v>No</x:v>
      </x:c>
      <x:c r="M142" s="22" t="n">
        <x:v>3.27</x:v>
      </x:c>
      <x:c r="N142" s="22" t="str">
        <x:v>None</x:v>
      </x:c>
      <x:c r="O142" s="22" t="str">
        <x:v>No</x:v>
      </x:c>
      <x:c r="P142" s="22" t="str">
        <x:v>No</x:v>
      </x:c>
      <x:c r="Q142" s="22" t="str">
        <x:v>Not applicable</x:v>
      </x:c>
      <x:c r="R142" s="22" t="str">
        <x:v>Not applicable</x:v>
      </x:c>
      <x:c r="S142" s="22" t="str">
        <x:v>No</x:v>
      </x:c>
      <x:c r="T142" s="22" t="str">
        <x:v>No</x:v>
      </x:c>
      <x:c r="U142" s="22" t="str">
        <x:v>No</x:v>
      </x:c>
      <x:c r="V142" s="22" t="str">
        <x:v>polyuria</x:v>
      </x:c>
      <x:c r="W142" s="22" t="str">
        <x:v>No</x:v>
      </x:c>
      <x:c r="X142" s="22" t="str">
        <x:v>Hypovolaemic</x:v>
      </x:c>
      <x:c r="Y142" s="22" t="n">
        <x:v>67.5</x:v>
      </x:c>
      <x:c r="Z142" s="22" t="str">
        <x:v>NICE-UNSUPPORTED-001</x:v>
      </x:c>
      <x:c r="AA142" s="22" t="str">
        <x:v>No definitive NICE-only management</x:v>
      </x:c>
      <x:c r="AB142" s="22" t="str">
        <x:v>Clinical review required</x:v>
      </x:c>
      <x:c r="AC142" s="22" t="str">
        <x:v>No definitive NICE-only management output</x:v>
      </x:c>
      <x:c r="AD142" s="22" t="str">
        <x:v>Do not generate treatment instructions. Display that an approved local protocol or specialist review is required.</x:v>
      </x:c>
      <x:c r="AE142" s="22" t="str">
        <x:v>This is a safety rule, not a treatment recommendation.</x:v>
      </x:c>
      <x:c r="AF142" s="22" t="str"/>
      <x:c r="AG142" s="22" t="str"/>
      <x:c r="AH142" s="22" t="str">
        <x:v>Hypercalcaemia adult General adult presentation guideline systematic review clinical review</x:v>
      </x:c>
      <x:c r="AI142" s="22" t="str">
        <x:v>train</x:v>
      </x:c>
      <x:c r="AJ142" s="22" t="str">
        <x:v>Yes</x:v>
      </x:c>
      <x:c r="AK142" s="22" t="str">
        <x:v>Pending</x:v>
      </x:c>
    </x:row>
    <x:row r="143">
      <x:c r="A143" t="str">
        <x:v>CASE-0066</x:v>
      </x:c>
      <x:c r="B143" s="22" t="str">
        <x:v>75-year-old male with hyponatraemia. Sodium is 126.3 mmol/L; baseline is 137.7 mmol/L. Context: IV-fluid-related. Symptoms: None reported. IV fluids: Yes; CKD stage: None; heart failure: No; AKI: No; dialysis: No; eGFR: 74.1 mL/min/1.73m².</x:v>
      </x:c>
      <x:c r="C143" t="n">
        <x:v>75</x:v>
      </x:c>
      <x:c r="D143" t="str">
        <x:v>Male</x:v>
      </x:c>
      <x:c r="E143" t="str">
        <x:v>Not applicable</x:v>
      </x:c>
      <x:c r="F143" t="str">
        <x:v>Sodium</x:v>
      </x:c>
      <x:c r="G143" t="str">
        <x:v>Hyponatraemia</x:v>
      </x:c>
      <x:c r="H143" t="n">
        <x:v>126.3</x:v>
      </x:c>
      <x:c r="I143" t="str">
        <x:v>mmol/L</x:v>
      </x:c>
      <x:c r="J143" s="22" t="str">
        <x:v>IV-fluid-related</x:v>
      </x:c>
      <x:c r="K143" s="22" t="str">
        <x:v>Yes</x:v>
      </x:c>
      <x:c r="L143" s="22" t="str">
        <x:v>No</x:v>
      </x:c>
      <x:c r="M143" s="22" t="n">
        <x:v>137.7</x:v>
      </x:c>
      <x:c r="N143" s="22" t="str">
        <x:v>None</x:v>
      </x:c>
      <x:c r="O143" s="22" t="str">
        <x:v>No</x:v>
      </x:c>
      <x:c r="P143" s="22" t="str">
        <x:v>No</x:v>
      </x:c>
      <x:c r="Q143" s="22" t="str">
        <x:v>Not applicable</x:v>
      </x:c>
      <x:c r="R143" s="22" t="str">
        <x:v>Not applicable</x:v>
      </x:c>
      <x:c r="S143" s="22" t="str">
        <x:v>No</x:v>
      </x:c>
      <x:c r="T143" s="22" t="str">
        <x:v>No</x:v>
      </x:c>
      <x:c r="U143" s="22" t="str">
        <x:v>No</x:v>
      </x:c>
      <x:c r="V143" s="22" t="str">
        <x:v>None reported</x:v>
      </x:c>
      <x:c r="W143" s="22" t="str">
        <x:v>No</x:v>
      </x:c>
      <x:c r="X143" s="22" t="str">
        <x:v>Hypovolaemic</x:v>
      </x:c>
      <x:c r="Y143" s="22" t="n">
        <x:v>74.1</x:v>
      </x:c>
      <x:c r="Z143" s="22" t="str">
        <x:v>NICE-NA-HYPO-IV-001</x:v>
      </x:c>
      <x:c r="AA143" s="22" t="str">
        <x:v>NICE detection / reassessment / escalation</x:v>
      </x:c>
      <x:c r="AB143" s="22" t="str">
        <x:v>Urgent review</x:v>
      </x:c>
      <x:c r="AC143" s="22" t="str">
        <x:v>NICE detection, reassessment and escalation</x:v>
      </x:c>
      <x:c r="AD143" s="22" t="str">
        <x:v>Treat as possible IV-fluid mismanagement: reassess the fluid prescription and monitoring plan, and seek expert help for a complex imbalance.</x:v>
      </x:c>
      <x:c r="AE143" s="22" t="str">
        <x:v>No definitive sodium-correction regimen is provided by CG174.</x:v>
      </x:c>
      <x:c r="AF143" s="22" t="str">
        <x:v>NICE-CG174</x:v>
      </x:c>
      <x:c r="AG143" s="22" t="str">
        <x:v>1.2.4, 1.5.1, 1.5.2, Table 1</x:v>
      </x:c>
      <x:c r="AH143" s="22" t="str">
        <x:v>Hyponatraemia adult IV-fluid-related guideline systematic review clinical review</x:v>
      </x:c>
      <x:c r="AI143" s="22" t="str">
        <x:v>train</x:v>
      </x:c>
      <x:c r="AJ143" s="22" t="str">
        <x:v>Yes</x:v>
      </x:c>
      <x:c r="AK143" s="22" t="str">
        <x:v>Pending</x:v>
      </x:c>
    </x:row>
    <x:row r="144">
      <x:c r="A144" t="str">
        <x:v>CASE-0010</x:v>
      </x:c>
      <x:c r="B144" s="22" t="str">
        <x:v>23-year-old male with hyponatraemia. Sodium is 113.6 mmol/L; baseline is 141.4 mmol/L. Context: IV-fluid-related. Symptoms: confusion, lethargy, nausea. IV fluids: Yes; CKD stage: None; heart failure: No; AKI: No; dialysis: No; eGFR: 105.4 mL/min/1.73m².</x:v>
      </x:c>
      <x:c r="C144" t="n">
        <x:v>23</x:v>
      </x:c>
      <x:c r="D144" t="str">
        <x:v>Male</x:v>
      </x:c>
      <x:c r="E144" t="str">
        <x:v>Not applicable</x:v>
      </x:c>
      <x:c r="F144" t="str">
        <x:v>Sodium</x:v>
      </x:c>
      <x:c r="G144" t="str">
        <x:v>Hyponatraemia</x:v>
      </x:c>
      <x:c r="H144" t="n">
        <x:v>113.6</x:v>
      </x:c>
      <x:c r="I144" t="str">
        <x:v>mmol/L</x:v>
      </x:c>
      <x:c r="J144" s="22" t="str">
        <x:v>IV-fluid-related</x:v>
      </x:c>
      <x:c r="K144" s="22" t="str">
        <x:v>Yes</x:v>
      </x:c>
      <x:c r="L144" s="22" t="str">
        <x:v>No</x:v>
      </x:c>
      <x:c r="M144" s="22" t="n">
        <x:v>141.4</x:v>
      </x:c>
      <x:c r="N144" s="22" t="str">
        <x:v>None</x:v>
      </x:c>
      <x:c r="O144" s="22" t="str">
        <x:v>No</x:v>
      </x:c>
      <x:c r="P144" s="22" t="str">
        <x:v>No</x:v>
      </x:c>
      <x:c r="Q144" s="22" t="str">
        <x:v>Not applicable</x:v>
      </x:c>
      <x:c r="R144" s="22" t="str">
        <x:v>Not applicable</x:v>
      </x:c>
      <x:c r="S144" s="22" t="str">
        <x:v>No</x:v>
      </x:c>
      <x:c r="T144" s="22" t="str">
        <x:v>No</x:v>
      </x:c>
      <x:c r="U144" s="22" t="str">
        <x:v>No</x:v>
      </x:c>
      <x:c r="V144" s="22" t="str">
        <x:v>confusion, lethargy, nausea</x:v>
      </x:c>
      <x:c r="W144" s="22" t="str">
        <x:v>No</x:v>
      </x:c>
      <x:c r="X144" s="22" t="str">
        <x:v>Hypovolaemic</x:v>
      </x:c>
      <x:c r="Y144" s="22" t="n">
        <x:v>105.4</x:v>
      </x:c>
      <x:c r="Z144" s="22" t="str">
        <x:v>NICE-NA-HYPO-IV-001</x:v>
      </x:c>
      <x:c r="AA144" s="22" t="str">
        <x:v>NICE detection / reassessment / escalation</x:v>
      </x:c>
      <x:c r="AB144" s="22" t="str">
        <x:v>Urgent review</x:v>
      </x:c>
      <x:c r="AC144" s="22" t="str">
        <x:v>NICE detection, reassessment and escalation</x:v>
      </x:c>
      <x:c r="AD144" s="22" t="str">
        <x:v>Treat as possible IV-fluid mismanagement: reassess the fluid prescription and monitoring plan, and seek expert help for a complex imbalance.</x:v>
      </x:c>
      <x:c r="AE144" s="22" t="str">
        <x:v>No definitive sodium-correction regimen is provided by CG174.</x:v>
      </x:c>
      <x:c r="AF144" s="22" t="str">
        <x:v>NICE-CG174</x:v>
      </x:c>
      <x:c r="AG144" s="22" t="str">
        <x:v>1.2.4, 1.5.1, 1.5.2, Table 1</x:v>
      </x:c>
      <x:c r="AH144" s="22" t="str">
        <x:v>Hyponatraemia adult IV-fluid-related guideline systematic review clinical review</x:v>
      </x:c>
      <x:c r="AI144" s="22" t="str">
        <x:v>train</x:v>
      </x:c>
      <x:c r="AJ144" s="22" t="str">
        <x:v>Yes</x:v>
      </x:c>
      <x:c r="AK144" s="22" t="str">
        <x:v>Pending</x:v>
      </x:c>
    </x:row>
    <x:row r="145">
      <x:c r="A145" t="str">
        <x:v>CASE-0106</x:v>
      </x:c>
      <x:c r="B145" s="22" t="str">
        <x:v>34-year-old male with hypernatraemia. Sodium is 160.0 mmol/L; baseline is 139.6 mmol/L. Context: IV-fluid-related. Symptoms: weakness, confusion. IV fluids: Yes; CKD stage: None; heart failure: No; AKI: No; dialysis: No; eGFR: 15.1 mL/min/1.73m².</x:v>
      </x:c>
      <x:c r="C145" t="n">
        <x:v>34</x:v>
      </x:c>
      <x:c r="D145" t="str">
        <x:v>Male</x:v>
      </x:c>
      <x:c r="E145" t="str">
        <x:v>Not applicable</x:v>
      </x:c>
      <x:c r="F145" t="str">
        <x:v>Sodium</x:v>
      </x:c>
      <x:c r="G145" t="str">
        <x:v>Hypernatraemia</x:v>
      </x:c>
      <x:c r="H145" t="n">
        <x:v>160</x:v>
      </x:c>
      <x:c r="I145" t="str">
        <x:v>mmol/L</x:v>
      </x:c>
      <x:c r="J145" s="22" t="str">
        <x:v>IV-fluid-related</x:v>
      </x:c>
      <x:c r="K145" s="22" t="str">
        <x:v>Yes</x:v>
      </x:c>
      <x:c r="L145" s="22" t="str">
        <x:v>Yes</x:v>
      </x:c>
      <x:c r="M145" s="22" t="n">
        <x:v>139.6</x:v>
      </x:c>
      <x:c r="N145" s="22" t="str">
        <x:v>None</x:v>
      </x:c>
      <x:c r="O145" s="22" t="str">
        <x:v>No</x:v>
      </x:c>
      <x:c r="P145" s="22" t="str">
        <x:v>No</x:v>
      </x:c>
      <x:c r="Q145" s="22" t="str">
        <x:v>Not applicable</x:v>
      </x:c>
      <x:c r="R145" s="22" t="str">
        <x:v>Not applicable</x:v>
      </x:c>
      <x:c r="S145" s="22" t="str">
        <x:v>No</x:v>
      </x:c>
      <x:c r="T145" s="22" t="str">
        <x:v>No</x:v>
      </x:c>
      <x:c r="U145" s="22" t="str">
        <x:v>No</x:v>
      </x:c>
      <x:c r="V145" s="22" t="str">
        <x:v>weakness, confusion</x:v>
      </x:c>
      <x:c r="W145" s="22" t="str">
        <x:v>No</x:v>
      </x:c>
      <x:c r="X145" s="22" t="str">
        <x:v>Hypovolaemic</x:v>
      </x:c>
      <x:c r="Y145" s="22" t="n">
        <x:v>15.1</x:v>
      </x:c>
      <x:c r="Z145" s="22" t="str">
        <x:v>NICE-NA-HYPER-IV-001</x:v>
      </x:c>
      <x:c r="AA145" s="22" t="str">
        <x:v>NICE detection / reassessment / escalation</x:v>
      </x:c>
      <x:c r="AB145" s="22" t="str">
        <x:v>Urgent review</x:v>
      </x:c>
      <x:c r="AC145" s="22" t="str">
        <x:v>NICE detection, reassessment and escalation</x:v>
      </x:c>
      <x:c r="AD145" s="22" t="str">
        <x:v>Treat as possible IV-fluid mismanagement: reassess the fluid prescription and monitoring plan, and seek expert help for the imbalance.</x:v>
      </x:c>
      <x:c r="AE145" s="22" t="str">
        <x:v>No definitive sodium-correction regimen is provided by CG174.</x:v>
      </x:c>
      <x:c r="AF145" s="22" t="str">
        <x:v>NICE-CG174</x:v>
      </x:c>
      <x:c r="AG145" s="22" t="str">
        <x:v>1.2.4, 1.5.1, 1.5.2, Table 1</x:v>
      </x:c>
      <x:c r="AH145" s="22" t="str">
        <x:v>Hypernatraemia adult IV-fluid-related guideline systematic review clinical review</x:v>
      </x:c>
      <x:c r="AI145" s="22" t="str">
        <x:v>train</x:v>
      </x:c>
      <x:c r="AJ145" s="22" t="str">
        <x:v>Yes</x:v>
      </x:c>
      <x:c r="AK145" s="22" t="str">
        <x:v>Pending</x:v>
      </x:c>
    </x:row>
    <x:row r="146">
      <x:c r="A146" t="str">
        <x:v>CASE-0814</x:v>
      </x:c>
      <x:c r="B146" s="22" t="str">
        <x:v>48-year-old male with no detected sodium abnormality. Sodium is 140.4 mmol/L. General adult presentation.</x:v>
      </x:c>
      <x:c r="C146" t="n">
        <x:v>48</x:v>
      </x:c>
      <x:c r="D146" t="str">
        <x:v>Male</x:v>
      </x:c>
      <x:c r="E146" t="str">
        <x:v>Not applicable</x:v>
      </x:c>
      <x:c r="F146" t="str">
        <x:v>Sodium</x:v>
      </x:c>
      <x:c r="G146" t="str">
        <x:v>No abnormality detected</x:v>
      </x:c>
      <x:c r="H146" t="n">
        <x:v>140.4</x:v>
      </x:c>
      <x:c r="I146" t="str">
        <x:v>mmol/L</x:v>
      </x:c>
      <x:c r="J146" s="22" t="str">
        <x:v>General adult presentation</x:v>
      </x:c>
      <x:c r="K146" s="22" t="str">
        <x:v>No</x:v>
      </x:c>
      <x:c r="L146" s="22" t="str">
        <x:v>No</x:v>
      </x:c>
      <x:c r="M146" s="22" t="n">
        <x:v>140.4</x:v>
      </x:c>
      <x:c r="N146" s="22" t="str">
        <x:v>None</x:v>
      </x:c>
      <x:c r="O146" s="22" t="str">
        <x:v>No</x:v>
      </x:c>
      <x:c r="P146" s="22" t="str">
        <x:v>No</x:v>
      </x:c>
      <x:c r="Q146" s="22" t="str">
        <x:v>Not applicable</x:v>
      </x:c>
      <x:c r="R146" s="22" t="str">
        <x:v>Not applicable</x:v>
      </x:c>
      <x:c r="S146" s="22" t="str">
        <x:v>No</x:v>
      </x:c>
      <x:c r="T146" s="22" t="str">
        <x:v>No</x:v>
      </x:c>
      <x:c r="U146" s="22" t="str">
        <x:v>No</x:v>
      </x:c>
      <x:c r="V146" s="22" t="str">
        <x:v>None reported</x:v>
      </x:c>
      <x:c r="W146" s="22" t="str">
        <x:v>No</x:v>
      </x:c>
      <x:c r="X146" s="22" t="str">
        <x:v>Euvolaemic</x:v>
      </x:c>
      <x:c r="Y146" s="22" t="n">
        <x:v>90.8</x:v>
      </x:c>
      <x:c r="Z146" s="22" t="str">
        <x:v>NICE-GLOBAL-ASSESS-001</x:v>
      </x:c>
      <x:c r="AA146" s="22" t="str">
        <x:v>General NICE assessment only</x:v>
      </x:c>
      <x:c r="AB146" s="22" t="str">
        <x:v>Routine review</x:v>
      </x:c>
      <x:c r="AC146" s="22" t="str">
        <x:v>No abnormality-specific management</x:v>
      </x:c>
      <x:c r="AD146" s="22" t="str">
        <x:v>No electrolyte abnormality is detected by the synthetic reference range; interpret the result with the full clinical picture.</x:v>
      </x:c>
      <x:c r="AE146" s="22" t="str">
        <x:v>Synthetic reference ranges are not NICE management thresholds.</x:v>
      </x:c>
      <x:c r="AF146" s="22" t="str">
        <x:v>NICE-CG174</x:v>
      </x:c>
      <x:c r="AG146" s="22" t="str">
        <x:v>1.1.1 and 1.2.2</x:v>
      </x:c>
      <x:c r="AH146" s="22" t="str">
        <x:v>Sodium reference interval adult laboratory interpretation</x:v>
      </x:c>
      <x:c r="AI146" s="22" t="str">
        <x:v>train</x:v>
      </x:c>
      <x:c r="AJ146" s="22" t="str">
        <x:v>Yes</x:v>
      </x:c>
      <x:c r="AK146" s="22" t="str">
        <x:v>Pending</x:v>
      </x:c>
    </x:row>
    <x:row r="147">
      <x:c r="A147" t="str">
        <x:v>CASE-0586</x:v>
      </x:c>
      <x:c r="B147" s="22" t="str">
        <x:v>28-year-old female with hypercalcaemia. Adjusted calcium is 2.97 mmol/L; baseline is 2.97 mmol/L. Context: Possible primary hyperparathyroidism. Symptoms: confusion. IV fluids: No; CKD stage: None; heart failure: No; AKI: No; dialysis: No; eGFR: 114.3 mL/min/1.73m².</x:v>
      </x:c>
      <x:c r="C147" t="n">
        <x:v>28</x:v>
      </x:c>
      <x:c r="D147" t="str">
        <x:v>Female</x:v>
      </x:c>
      <x:c r="E147" t="str">
        <x:v>Not pregnant</x:v>
      </x:c>
      <x:c r="F147" t="str">
        <x:v>Adjusted calcium</x:v>
      </x:c>
      <x:c r="G147" t="str">
        <x:v>Hypercalcaemia</x:v>
      </x:c>
      <x:c r="H147" t="n">
        <x:v>2.97</x:v>
      </x:c>
      <x:c r="I147" t="str">
        <x:v>mmol/L</x:v>
      </x:c>
      <x:c r="J147" s="22" t="str">
        <x:v>Possible primary hyperparathyroidism</x:v>
      </x:c>
      <x:c r="K147" s="22" t="str">
        <x:v>No</x:v>
      </x:c>
      <x:c r="L147" s="22" t="str">
        <x:v>No</x:v>
      </x:c>
      <x:c r="M147" s="22" t="n">
        <x:v>2.97</x:v>
      </x:c>
      <x:c r="N147" s="22" t="str">
        <x:v>None</x:v>
      </x:c>
      <x:c r="O147" s="22" t="str">
        <x:v>No</x:v>
      </x:c>
      <x:c r="P147" s="22" t="str">
        <x:v>No</x:v>
      </x:c>
      <x:c r="Q147" s="22" t="str">
        <x:v>Not applicable</x:v>
      </x:c>
      <x:c r="R147" s="22" t="str">
        <x:v>Not applicable</x:v>
      </x:c>
      <x:c r="S147" s="22" t="str">
        <x:v>No</x:v>
      </x:c>
      <x:c r="T147" s="22" t="str">
        <x:v>No</x:v>
      </x:c>
      <x:c r="U147" s="22" t="str">
        <x:v>No</x:v>
      </x:c>
      <x:c r="V147" s="22" t="str">
        <x:v>confusion</x:v>
      </x:c>
      <x:c r="W147" s="22" t="str">
        <x:v>No</x:v>
      </x:c>
      <x:c r="X147" s="22" t="str">
        <x:v>Uncertain</x:v>
      </x:c>
      <x:c r="Y147" s="22" t="n">
        <x:v>114.3</x:v>
      </x:c>
      <x:c r="Z147" s="22" t="str">
        <x:v>NICE-CA-PHPT-SCREEN-001</x:v>
      </x:c>
      <x:c r="AA147" s="22" t="str">
        <x:v>Specific context-based NICE guidance</x:v>
      </x:c>
      <x:c r="AB147" s="22" t="str">
        <x:v>Diagnostic assessment</x:v>
      </x:c>
      <x:c r="AC147" s="22" t="str">
        <x:v>Specific NICE diagnostic guidance</x:v>
      </x:c>
      <x:c r="AD147" s="22" t="str">
        <x:v>Use albumin-adjusted serum calcium in the NICE diagnostic pathway for primary hyperparathyroidism.</x:v>
      </x:c>
      <x:c r="AE147" s="22" t="str">
        <x:v>Not an acute general hypercalcaemia pathway.</x:v>
      </x:c>
      <x:c r="AF147" s="22" t="str">
        <x:v>NICE-NG132</x:v>
      </x:c>
      <x:c r="AG147" s="22" t="str">
        <x:v>1.1.1 and Terms used</x:v>
      </x:c>
      <x:c r="AH147" s="22" t="str">
        <x:v>Hypercalcaemia adult Possible primary hyperparathyroidism guideline systematic review clinical review</x:v>
      </x:c>
      <x:c r="AI147" s="22" t="str">
        <x:v>train</x:v>
      </x:c>
      <x:c r="AJ147" s="22" t="str">
        <x:v>Yes</x:v>
      </x:c>
      <x:c r="AK147" s="22" t="str">
        <x:v>Pending</x:v>
      </x:c>
    </x:row>
    <x:row r="148">
      <x:c r="A148" t="str">
        <x:v>CASE-0827</x:v>
      </x:c>
      <x:c r="B148" s="22" t="str">
        <x:v>52-year-old male with no detected sodium abnormality. Sodium is 139.7 mmol/L. General adult presentation.</x:v>
      </x:c>
      <x:c r="C148" t="n">
        <x:v>52</x:v>
      </x:c>
      <x:c r="D148" t="str">
        <x:v>Male</x:v>
      </x:c>
      <x:c r="E148" t="str">
        <x:v>Not applicable</x:v>
      </x:c>
      <x:c r="F148" t="str">
        <x:v>Sodium</x:v>
      </x:c>
      <x:c r="G148" t="str">
        <x:v>No abnormality detected</x:v>
      </x:c>
      <x:c r="H148" t="n">
        <x:v>139.7</x:v>
      </x:c>
      <x:c r="I148" t="str">
        <x:v>mmol/L</x:v>
      </x:c>
      <x:c r="J148" s="22" t="str">
        <x:v>General adult presentation</x:v>
      </x:c>
      <x:c r="K148" s="22" t="str">
        <x:v>No</x:v>
      </x:c>
      <x:c r="L148" s="22" t="str">
        <x:v>No</x:v>
      </x:c>
      <x:c r="M148" s="22" t="n">
        <x:v>139.7</x:v>
      </x:c>
      <x:c r="N148" s="22" t="str">
        <x:v>None</x:v>
      </x:c>
      <x:c r="O148" s="22" t="str">
        <x:v>No</x:v>
      </x:c>
      <x:c r="P148" s="22" t="str">
        <x:v>No</x:v>
      </x:c>
      <x:c r="Q148" s="22" t="str">
        <x:v>Not applicable</x:v>
      </x:c>
      <x:c r="R148" s="22" t="str">
        <x:v>Not applicable</x:v>
      </x:c>
      <x:c r="S148" s="22" t="str">
        <x:v>No</x:v>
      </x:c>
      <x:c r="T148" s="22" t="str">
        <x:v>No</x:v>
      </x:c>
      <x:c r="U148" s="22" t="str">
        <x:v>No</x:v>
      </x:c>
      <x:c r="V148" s="22" t="str">
        <x:v>None reported</x:v>
      </x:c>
      <x:c r="W148" s="22" t="str">
        <x:v>No</x:v>
      </x:c>
      <x:c r="X148" s="22" t="str">
        <x:v>Euvolaemic</x:v>
      </x:c>
      <x:c r="Y148" s="22" t="n">
        <x:v>96.7</x:v>
      </x:c>
      <x:c r="Z148" s="22" t="str">
        <x:v>NICE-GLOBAL-ASSESS-001</x:v>
      </x:c>
      <x:c r="AA148" s="22" t="str">
        <x:v>General NICE assessment only</x:v>
      </x:c>
      <x:c r="AB148" s="22" t="str">
        <x:v>Routine review</x:v>
      </x:c>
      <x:c r="AC148" s="22" t="str">
        <x:v>No abnormality-specific management</x:v>
      </x:c>
      <x:c r="AD148" s="22" t="str">
        <x:v>No electrolyte abnormality is detected by the synthetic reference range; interpret the result with the full clinical picture.</x:v>
      </x:c>
      <x:c r="AE148" s="22" t="str">
        <x:v>Synthetic reference ranges are not NICE management thresholds.</x:v>
      </x:c>
      <x:c r="AF148" s="22" t="str">
        <x:v>NICE-CG174</x:v>
      </x:c>
      <x:c r="AG148" s="22" t="str">
        <x:v>1.1.1 and 1.2.2</x:v>
      </x:c>
      <x:c r="AH148" s="22" t="str">
        <x:v>Sodium reference interval adult laboratory interpretation</x:v>
      </x:c>
      <x:c r="AI148" s="22" t="str">
        <x:v>train</x:v>
      </x:c>
      <x:c r="AJ148" s="22" t="str">
        <x:v>Yes</x:v>
      </x:c>
      <x:c r="AK148" s="22" t="str">
        <x:v>Pending</x:v>
      </x:c>
    </x:row>
    <x:row r="149">
      <x:c r="A149" t="str">
        <x:v>CASE-0562</x:v>
      </x:c>
      <x:c r="B149" s="22" t="str">
        <x:v>61-year-old female with hypercalcaemia. Adjusted calcium is 2.93 mmol/L; baseline is 3.72 mmol/L. Context: Confirmed primary hyperparathyroidism. Symptoms: polyuria. IV fluids: No; CKD stage: None; heart failure: No; AKI: No; dialysis: No; eGFR: 51.8 mL/min/1.73m².</x:v>
      </x:c>
      <x:c r="C149" t="n">
        <x:v>61</x:v>
      </x:c>
      <x:c r="D149" t="str">
        <x:v>Female</x:v>
      </x:c>
      <x:c r="E149" t="str">
        <x:v>Not applicable</x:v>
      </x:c>
      <x:c r="F149" t="str">
        <x:v>Adjusted calcium</x:v>
      </x:c>
      <x:c r="G149" t="str">
        <x:v>Hypercalcaemia</x:v>
      </x:c>
      <x:c r="H149" t="n">
        <x:v>2.93</x:v>
      </x:c>
      <x:c r="I149" t="str">
        <x:v>mmol/L</x:v>
      </x:c>
      <x:c r="J149" s="22" t="str">
        <x:v>Confirmed primary hyperparathyroidism</x:v>
      </x:c>
      <x:c r="K149" s="22" t="str">
        <x:v>No</x:v>
      </x:c>
      <x:c r="L149" s="22" t="str">
        <x:v>No</x:v>
      </x:c>
      <x:c r="M149" s="22" t="n">
        <x:v>3.72</x:v>
      </x:c>
      <x:c r="N149" s="22" t="str">
        <x:v>None</x:v>
      </x:c>
      <x:c r="O149" s="22" t="str">
        <x:v>No</x:v>
      </x:c>
      <x:c r="P149" s="22" t="str">
        <x:v>No</x:v>
      </x:c>
      <x:c r="Q149" s="22" t="str">
        <x:v>Not applicable</x:v>
      </x:c>
      <x:c r="R149" s="22" t="str">
        <x:v>Not applicable</x:v>
      </x:c>
      <x:c r="S149" s="22" t="str">
        <x:v>No</x:v>
      </x:c>
      <x:c r="T149" s="22" t="str">
        <x:v>Yes</x:v>
      </x:c>
      <x:c r="U149" s="22" t="str">
        <x:v>No</x:v>
      </x:c>
      <x:c r="V149" s="22" t="str">
        <x:v>polyuria</x:v>
      </x:c>
      <x:c r="W149" s="22" t="str">
        <x:v>Yes</x:v>
      </x:c>
      <x:c r="X149" s="22" t="str">
        <x:v>Hypervolaemic</x:v>
      </x:c>
      <x:c r="Y149" s="22" t="n">
        <x:v>51.8</x:v>
      </x:c>
      <x:c r="Z149" s="22" t="str">
        <x:v>NICE-CA-PHPT-REFER-001</x:v>
      </x:c>
      <x:c r="AA149" s="22" t="str">
        <x:v>Specific context-based NICE guidance</x:v>
      </x:c>
      <x:c r="AB149" s="22" t="str">
        <x:v>Specialist surgical referral</x:v>
      </x:c>
      <x:c r="AC149" s="22" t="str">
        <x:v>Specific NICE referral guidance</x:v>
      </x:c>
      <x:c r="AD149" s="22" t="str">
        <x:v>Refer to a surgeon with expertise in parathyroid surgery when one or more stated NICE criteria are present.</x:v>
      </x:c>
      <x:c r="AE149" s="22" t="str">
        <x:v>Applies only to confirmed primary hyperparathyroidism.</x:v>
      </x:c>
      <x:c r="AF149" s="22" t="str">
        <x:v>NICE-NG132</x:v>
      </x:c>
      <x:c r="AG149" s="22" t="str">
        <x:v>1.3.1 and 1.3.2</x:v>
      </x:c>
      <x:c r="AH149" s="22" t="str">
        <x:v>Hypercalcaemia adult Confirmed primary hyperparathyroidism guideline systematic review clinical review</x:v>
      </x:c>
      <x:c r="AI149" s="22" t="str">
        <x:v>train</x:v>
      </x:c>
      <x:c r="AJ149" s="22" t="str">
        <x:v>Yes</x:v>
      </x:c>
      <x:c r="AK149" s="22" t="str">
        <x:v>Pending</x:v>
      </x:c>
    </x:row>
    <x:row r="150">
      <x:c r="A150" t="str">
        <x:v>CASE-0517</x:v>
      </x:c>
      <x:c r="B150" s="22" t="str">
        <x:v>37-year-old male with hypercalcaemia. Adjusted calcium is 2.83 mmol/L; baseline is 3.55 mmol/L. Context: Confirmed primary hyperparathyroidism. Symptoms: polyuria, confusion. IV fluids: No; CKD stage: None; heart failure: No; AKI: No; dialysis: No; eGFR: 99.1 mL/min/1.73m².</x:v>
      </x:c>
      <x:c r="C150" t="n">
        <x:v>37</x:v>
      </x:c>
      <x:c r="D150" t="str">
        <x:v>Male</x:v>
      </x:c>
      <x:c r="E150" t="str">
        <x:v>Not applicable</x:v>
      </x:c>
      <x:c r="F150" t="str">
        <x:v>Adjusted calcium</x:v>
      </x:c>
      <x:c r="G150" t="str">
        <x:v>Hypercalcaemia</x:v>
      </x:c>
      <x:c r="H150" t="n">
        <x:v>2.83</x:v>
      </x:c>
      <x:c r="I150" t="str">
        <x:v>mmol/L</x:v>
      </x:c>
      <x:c r="J150" s="22" t="str">
        <x:v>Confirmed primary hyperparathyroidism</x:v>
      </x:c>
      <x:c r="K150" s="22" t="str">
        <x:v>No</x:v>
      </x:c>
      <x:c r="L150" s="22" t="str">
        <x:v>No</x:v>
      </x:c>
      <x:c r="M150" s="22" t="n">
        <x:v>3.55</x:v>
      </x:c>
      <x:c r="N150" s="22" t="str">
        <x:v>None</x:v>
      </x:c>
      <x:c r="O150" s="22" t="str">
        <x:v>No</x:v>
      </x:c>
      <x:c r="P150" s="22" t="str">
        <x:v>No</x:v>
      </x:c>
      <x:c r="Q150" s="22" t="str">
        <x:v>Not applicable</x:v>
      </x:c>
      <x:c r="R150" s="22" t="str">
        <x:v>Not applicable</x:v>
      </x:c>
      <x:c r="S150" s="22" t="str">
        <x:v>No</x:v>
      </x:c>
      <x:c r="T150" s="22" t="str">
        <x:v>Yes</x:v>
      </x:c>
      <x:c r="U150" s="22" t="str">
        <x:v>No</x:v>
      </x:c>
      <x:c r="V150" s="22" t="str">
        <x:v>polyuria, confusion</x:v>
      </x:c>
      <x:c r="W150" s="22" t="str">
        <x:v>No</x:v>
      </x:c>
      <x:c r="X150" s="22" t="str">
        <x:v>Hypovolaemic</x:v>
      </x:c>
      <x:c r="Y150" s="22" t="n">
        <x:v>99.1</x:v>
      </x:c>
      <x:c r="Z150" s="22" t="str">
        <x:v>NICE-CA-PHPT-REFER-001</x:v>
      </x:c>
      <x:c r="AA150" s="22" t="str">
        <x:v>Specific context-based NICE guidance</x:v>
      </x:c>
      <x:c r="AB150" s="22" t="str">
        <x:v>Specialist surgical referral</x:v>
      </x:c>
      <x:c r="AC150" s="22" t="str">
        <x:v>Specific NICE referral guidance</x:v>
      </x:c>
      <x:c r="AD150" s="22" t="str">
        <x:v>Refer to a surgeon with expertise in parathyroid surgery when one or more stated NICE criteria are present.</x:v>
      </x:c>
      <x:c r="AE150" s="22" t="str">
        <x:v>Applies only to confirmed primary hyperparathyroidism.</x:v>
      </x:c>
      <x:c r="AF150" s="22" t="str">
        <x:v>NICE-NG132</x:v>
      </x:c>
      <x:c r="AG150" s="22" t="str">
        <x:v>1.3.1 and 1.3.2</x:v>
      </x:c>
      <x:c r="AH150" s="22" t="str">
        <x:v>Hypercalcaemia adult Confirmed primary hyperparathyroidism guideline systematic review clinical review</x:v>
      </x:c>
      <x:c r="AI150" s="22" t="str">
        <x:v>train</x:v>
      </x:c>
      <x:c r="AJ150" s="22" t="str">
        <x:v>Yes</x:v>
      </x:c>
      <x:c r="AK150" s="22" t="str">
        <x:v>Pending</x:v>
      </x:c>
    </x:row>
    <x:row r="151">
      <x:c r="A151" t="str">
        <x:v>CASE-0930</x:v>
      </x:c>
      <x:c r="B151" s="22" t="str">
        <x:v>23-year-old male with no detected adjusted calcium abnormality. Adjusted calcium is 2.58 mmol/L. General adult presentation.</x:v>
      </x:c>
      <x:c r="C151" t="n">
        <x:v>23</x:v>
      </x:c>
      <x:c r="D151" t="str">
        <x:v>Male</x:v>
      </x:c>
      <x:c r="E151" t="str">
        <x:v>Not applicable</x:v>
      </x:c>
      <x:c r="F151" t="str">
        <x:v>Adjusted calcium</x:v>
      </x:c>
      <x:c r="G151" t="str">
        <x:v>No abnormality detected</x:v>
      </x:c>
      <x:c r="H151" t="n">
        <x:v>2.58</x:v>
      </x:c>
      <x:c r="I151" t="str">
        <x:v>mmol/L</x:v>
      </x:c>
      <x:c r="J151" s="22" t="str">
        <x:v>General adult presentation</x:v>
      </x:c>
      <x:c r="K151" s="22" t="str">
        <x:v>No</x:v>
      </x:c>
      <x:c r="L151" s="22" t="str">
        <x:v>No</x:v>
      </x:c>
      <x:c r="M151" s="22" t="n">
        <x:v>2.58</x:v>
      </x:c>
      <x:c r="N151" s="22" t="str">
        <x:v>None</x:v>
      </x:c>
      <x:c r="O151" s="22" t="str">
        <x:v>No</x:v>
      </x:c>
      <x:c r="P151" s="22" t="str">
        <x:v>No</x:v>
      </x:c>
      <x:c r="Q151" s="22" t="str">
        <x:v>Not applicable</x:v>
      </x:c>
      <x:c r="R151" s="22" t="str">
        <x:v>Not applicable</x:v>
      </x:c>
      <x:c r="S151" s="22" t="str">
        <x:v>No</x:v>
      </x:c>
      <x:c r="T151" s="22" t="str">
        <x:v>No</x:v>
      </x:c>
      <x:c r="U151" s="22" t="str">
        <x:v>No</x:v>
      </x:c>
      <x:c r="V151" s="22" t="str">
        <x:v>None reported</x:v>
      </x:c>
      <x:c r="W151" s="22" t="str">
        <x:v>No</x:v>
      </x:c>
      <x:c r="X151" s="22" t="str">
        <x:v>Euvolaemic</x:v>
      </x:c>
      <x:c r="Y151" s="22" t="n">
        <x:v>108.4</x:v>
      </x:c>
      <x:c r="Z151" s="22" t="str">
        <x:v>NICE-GLOBAL-ASSESS-001</x:v>
      </x:c>
      <x:c r="AA151" s="22" t="str">
        <x:v>General NICE assessment only</x:v>
      </x:c>
      <x:c r="AB151" s="22" t="str">
        <x:v>Routine review</x:v>
      </x:c>
      <x:c r="AC151" s="22" t="str">
        <x:v>No abnormality-specific management</x:v>
      </x:c>
      <x:c r="AD151" s="22" t="str">
        <x:v>No electrolyte abnormality is detected by the synthetic reference range; interpret the result with the full clinical picture.</x:v>
      </x:c>
      <x:c r="AE151" s="22" t="str">
        <x:v>Synthetic reference ranges are not NICE management thresholds.</x:v>
      </x:c>
      <x:c r="AF151" s="22" t="str">
        <x:v>NICE-CG174</x:v>
      </x:c>
      <x:c r="AG151" s="22" t="str">
        <x:v>1.1.1 and 1.2.2</x:v>
      </x:c>
      <x:c r="AH151" s="22" t="str">
        <x:v>Adjusted calcium reference interval adult laboratory interpretation</x:v>
      </x:c>
      <x:c r="AI151" s="22" t="str">
        <x:v>train</x:v>
      </x:c>
      <x:c r="AJ151" s="22" t="str">
        <x:v>Yes</x:v>
      </x:c>
      <x:c r="AK151" s="22" t="str">
        <x:v>Pending</x:v>
      </x:c>
    </x:row>
    <x:row r="152">
      <x:c r="A152" t="str">
        <x:v>CASE-0145</x:v>
      </x:c>
      <x:c r="B152" s="22" t="str">
        <x:v>22-year-old male with hypernatraemia. Sodium is 170.3 mmol/L; baseline is 138.4 mmol/L. Context: IV-fluid-related. Symptoms: None reported. IV fluids: Yes; CKD stage: None; heart failure: No; AKI: No; dialysis: No; eGFR: 38.9 mL/min/1.73m².</x:v>
      </x:c>
      <x:c r="C152" t="n">
        <x:v>22</x:v>
      </x:c>
      <x:c r="D152" t="str">
        <x:v>Male</x:v>
      </x:c>
      <x:c r="E152" t="str">
        <x:v>Not applicable</x:v>
      </x:c>
      <x:c r="F152" t="str">
        <x:v>Sodium</x:v>
      </x:c>
      <x:c r="G152" t="str">
        <x:v>Hypernatraemia</x:v>
      </x:c>
      <x:c r="H152" t="n">
        <x:v>170.3</x:v>
      </x:c>
      <x:c r="I152" t="str">
        <x:v>mmol/L</x:v>
      </x:c>
      <x:c r="J152" s="22" t="str">
        <x:v>IV-fluid-related</x:v>
      </x:c>
      <x:c r="K152" s="22" t="str">
        <x:v>Yes</x:v>
      </x:c>
      <x:c r="L152" s="22" t="str">
        <x:v>Yes</x:v>
      </x:c>
      <x:c r="M152" s="22" t="n">
        <x:v>138.4</x:v>
      </x:c>
      <x:c r="N152" s="22" t="str">
        <x:v>None</x:v>
      </x:c>
      <x:c r="O152" s="22" t="str">
        <x:v>No</x:v>
      </x:c>
      <x:c r="P152" s="22" t="str">
        <x:v>No</x:v>
      </x:c>
      <x:c r="Q152" s="22" t="str">
        <x:v>Not applicable</x:v>
      </x:c>
      <x:c r="R152" s="22" t="str">
        <x:v>Not applicable</x:v>
      </x:c>
      <x:c r="S152" s="22" t="str">
        <x:v>No</x:v>
      </x:c>
      <x:c r="T152" s="22" t="str">
        <x:v>No</x:v>
      </x:c>
      <x:c r="U152" s="22" t="str">
        <x:v>No</x:v>
      </x:c>
      <x:c r="V152" s="22" t="str">
        <x:v>None reported</x:v>
      </x:c>
      <x:c r="W152" s="22" t="str">
        <x:v>No</x:v>
      </x:c>
      <x:c r="X152" s="22" t="str">
        <x:v>Hypovolaemic</x:v>
      </x:c>
      <x:c r="Y152" s="22" t="n">
        <x:v>38.9</x:v>
      </x:c>
      <x:c r="Z152" s="22" t="str">
        <x:v>NICE-NA-HYPER-IV-001</x:v>
      </x:c>
      <x:c r="AA152" s="22" t="str">
        <x:v>NICE detection / reassessment / escalation</x:v>
      </x:c>
      <x:c r="AB152" s="22" t="str">
        <x:v>Urgent review</x:v>
      </x:c>
      <x:c r="AC152" s="22" t="str">
        <x:v>NICE detection, reassessment and escalation</x:v>
      </x:c>
      <x:c r="AD152" s="22" t="str">
        <x:v>Treat as possible IV-fluid mismanagement: reassess the fluid prescription and monitoring plan, and seek expert help for the imbalance.</x:v>
      </x:c>
      <x:c r="AE152" s="22" t="str">
        <x:v>No definitive sodium-correction regimen is provided by CG174.</x:v>
      </x:c>
      <x:c r="AF152" s="22" t="str">
        <x:v>NICE-CG174</x:v>
      </x:c>
      <x:c r="AG152" s="22" t="str">
        <x:v>1.2.4, 1.5.1, 1.5.2, Table 1</x:v>
      </x:c>
      <x:c r="AH152" s="22" t="str">
        <x:v>Hypernatraemia adult IV-fluid-related guideline systematic review clinical review</x:v>
      </x:c>
      <x:c r="AI152" s="22" t="str">
        <x:v>train</x:v>
      </x:c>
      <x:c r="AJ152" s="22" t="str">
        <x:v>Yes</x:v>
      </x:c>
      <x:c r="AK152" s="22" t="str">
        <x:v>Pending</x:v>
      </x:c>
    </x:row>
    <x:row r="153">
      <x:c r="A153" t="str">
        <x:v>CASE-0532</x:v>
      </x:c>
      <x:c r="B153" s="22" t="str">
        <x:v>74-year-old male with hypercalcaemia. Adjusted calcium is 2.96 mmol/L; baseline is 3.6 mmol/L. Context: Possible primary hyperparathyroidism. Symptoms: None reported. IV fluids: No; CKD stage: None; heart failure: No; AKI: No; dialysis: No; eGFR: 17.1 mL/min/1.73m².</x:v>
      </x:c>
      <x:c r="C153" t="n">
        <x:v>74</x:v>
      </x:c>
      <x:c r="D153" t="str">
        <x:v>Male</x:v>
      </x:c>
      <x:c r="E153" t="str">
        <x:v>Not applicable</x:v>
      </x:c>
      <x:c r="F153" t="str">
        <x:v>Adjusted calcium</x:v>
      </x:c>
      <x:c r="G153" t="str">
        <x:v>Hypercalcaemia</x:v>
      </x:c>
      <x:c r="H153" t="n">
        <x:v>2.96</x:v>
      </x:c>
      <x:c r="I153" t="str">
        <x:v>mmol/L</x:v>
      </x:c>
      <x:c r="J153" s="22" t="str">
        <x:v>Possible primary hyperparathyroidism</x:v>
      </x:c>
      <x:c r="K153" s="22" t="str">
        <x:v>No</x:v>
      </x:c>
      <x:c r="L153" s="22" t="str">
        <x:v>No</x:v>
      </x:c>
      <x:c r="M153" s="22" t="n">
        <x:v>3.6</x:v>
      </x:c>
      <x:c r="N153" s="22" t="str">
        <x:v>None</x:v>
      </x:c>
      <x:c r="O153" s="22" t="str">
        <x:v>No</x:v>
      </x:c>
      <x:c r="P153" s="22" t="str">
        <x:v>No</x:v>
      </x:c>
      <x:c r="Q153" s="22" t="str">
        <x:v>Not applicable</x:v>
      </x:c>
      <x:c r="R153" s="22" t="str">
        <x:v>Not applicable</x:v>
      </x:c>
      <x:c r="S153" s="22" t="str">
        <x:v>No</x:v>
      </x:c>
      <x:c r="T153" s="22" t="str">
        <x:v>No</x:v>
      </x:c>
      <x:c r="U153" s="22" t="str">
        <x:v>No</x:v>
      </x:c>
      <x:c r="V153" s="22" t="str">
        <x:v>None reported</x:v>
      </x:c>
      <x:c r="W153" s="22" t="str">
        <x:v>No</x:v>
      </x:c>
      <x:c r="X153" s="22" t="str">
        <x:v>Hypovolaemic</x:v>
      </x:c>
      <x:c r="Y153" s="22" t="n">
        <x:v>17.1</x:v>
      </x:c>
      <x:c r="Z153" s="22" t="str">
        <x:v>NICE-CA-PHPT-SCREEN-001</x:v>
      </x:c>
      <x:c r="AA153" s="22" t="str">
        <x:v>Specific context-based NICE guidance</x:v>
      </x:c>
      <x:c r="AB153" s="22" t="str">
        <x:v>Diagnostic assessment</x:v>
      </x:c>
      <x:c r="AC153" s="22" t="str">
        <x:v>Specific NICE diagnostic guidance</x:v>
      </x:c>
      <x:c r="AD153" s="22" t="str">
        <x:v>Use albumin-adjusted serum calcium in the NICE diagnostic pathway for primary hyperparathyroidism.</x:v>
      </x:c>
      <x:c r="AE153" s="22" t="str">
        <x:v>Not an acute general hypercalcaemia pathway.</x:v>
      </x:c>
      <x:c r="AF153" s="22" t="str">
        <x:v>NICE-NG132</x:v>
      </x:c>
      <x:c r="AG153" s="22" t="str">
        <x:v>1.1.1 and Terms used</x:v>
      </x:c>
      <x:c r="AH153" s="22" t="str">
        <x:v>Hypercalcaemia adult Possible primary hyperparathyroidism guideline systematic review clinical review</x:v>
      </x:c>
      <x:c r="AI153" s="22" t="str">
        <x:v>train</x:v>
      </x:c>
      <x:c r="AJ153" s="22" t="str">
        <x:v>Yes</x:v>
      </x:c>
      <x:c r="AK153" s="22" t="str">
        <x:v>Pending</x:v>
      </x:c>
    </x:row>
    <x:row r="154">
      <x:c r="A154" t="str">
        <x:v>CASE-0281</x:v>
      </x:c>
      <x:c r="B154" s="22" t="str">
        <x:v>56-year-old female with hypokalaemia. Potassium is 2.3 mmol/L; baseline is 2.35 mmol/L. Context: General adult presentation. Symptoms: None reported. IV fluids: No; CKD stage: None; heart failure: No; AKI: No; dialysis: No; eGFR: 56.5 mL/min/1.73m².</x:v>
      </x:c>
      <x:c r="C154" t="n">
        <x:v>56</x:v>
      </x:c>
      <x:c r="D154" t="str">
        <x:v>Female</x:v>
      </x:c>
      <x:c r="E154" t="str">
        <x:v>Not applicable</x:v>
      </x:c>
      <x:c r="F154" t="str">
        <x:v>Potassium</x:v>
      </x:c>
      <x:c r="G154" t="str">
        <x:v>Hypokalaemia</x:v>
      </x:c>
      <x:c r="H154" t="n">
        <x:v>2.3</x:v>
      </x:c>
      <x:c r="I154" t="str">
        <x:v>mmol/L</x:v>
      </x:c>
      <x:c r="J154" s="22" t="str">
        <x:v>General adult presentation</x:v>
      </x:c>
      <x:c r="K154" s="22" t="str">
        <x:v>No</x:v>
      </x:c>
      <x:c r="L154" s="22" t="str">
        <x:v>No</x:v>
      </x:c>
      <x:c r="M154" s="22" t="n">
        <x:v>2.35</x:v>
      </x:c>
      <x:c r="N154" s="22" t="str">
        <x:v>None</x:v>
      </x:c>
      <x:c r="O154" s="22" t="str">
        <x:v>No</x:v>
      </x:c>
      <x:c r="P154" s="22" t="str">
        <x:v>No</x:v>
      </x:c>
      <x:c r="Q154" s="22" t="str">
        <x:v>Not applicable</x:v>
      </x:c>
      <x:c r="R154" s="22" t="str">
        <x:v>Not applicable</x:v>
      </x:c>
      <x:c r="S154" s="22" t="str">
        <x:v>No</x:v>
      </x:c>
      <x:c r="T154" s="22" t="str">
        <x:v>No</x:v>
      </x:c>
      <x:c r="U154" s="22" t="str">
        <x:v>No</x:v>
      </x:c>
      <x:c r="V154" s="22" t="str">
        <x:v>None reported</x:v>
      </x:c>
      <x:c r="W154" s="22" t="str">
        <x:v>No</x:v>
      </x:c>
      <x:c r="X154" s="22" t="str">
        <x:v>Hypervolaemic</x:v>
      </x:c>
      <x:c r="Y154" s="22" t="n">
        <x:v>56.5</x:v>
      </x:c>
      <x:c r="Z154" s="22" t="str">
        <x:v>NICE-UNSUPPORTED-001</x:v>
      </x:c>
      <x:c r="AA154" s="22" t="str">
        <x:v>No definitive NICE-only management</x:v>
      </x:c>
      <x:c r="AB154" s="22" t="str">
        <x:v>Clinical review required</x:v>
      </x:c>
      <x:c r="AC154" s="22" t="str">
        <x:v>No definitive NICE-only management output</x:v>
      </x:c>
      <x:c r="AD154" s="22" t="str">
        <x:v>Do not generate treatment instructions. Display that an approved local protocol or specialist review is required.</x:v>
      </x:c>
      <x:c r="AE154" s="22" t="str">
        <x:v>This is a safety rule, not a treatment recommendation.</x:v>
      </x:c>
      <x:c r="AF154" s="22" t="str"/>
      <x:c r="AG154" s="22" t="str"/>
      <x:c r="AH154" s="22" t="str">
        <x:v>Hypokalaemia adult General adult presentation guideline systematic review clinical review</x:v>
      </x:c>
      <x:c r="AI154" s="22" t="str">
        <x:v>train</x:v>
      </x:c>
      <x:c r="AJ154" s="22" t="str">
        <x:v>Yes</x:v>
      </x:c>
      <x:c r="AK154" s="22" t="str">
        <x:v>Pending</x:v>
      </x:c>
    </x:row>
    <x:row r="155">
      <x:c r="A155" t="str">
        <x:v>CASE-0410</x:v>
      </x:c>
      <x:c r="B155" s="22" t="str">
        <x:v>88-year-old male with hypocalcaemia. Adjusted calcium is 1.71 mmol/L; baseline is 1.53 mmol/L. Context: General adult presentation. Symptoms: seizure. IV fluids: No; CKD stage: None; heart failure: No; AKI: No; dialysis: No; eGFR: 14.3 mL/min/1.73m².</x:v>
      </x:c>
      <x:c r="C155" t="n">
        <x:v>88</x:v>
      </x:c>
      <x:c r="D155" t="str">
        <x:v>Male</x:v>
      </x:c>
      <x:c r="E155" t="str">
        <x:v>Not applicable</x:v>
      </x:c>
      <x:c r="F155" t="str">
        <x:v>Adjusted calcium</x:v>
      </x:c>
      <x:c r="G155" t="str">
        <x:v>Hypocalcaemia</x:v>
      </x:c>
      <x:c r="H155" t="n">
        <x:v>1.71</x:v>
      </x:c>
      <x:c r="I155" t="str">
        <x:v>mmol/L</x:v>
      </x:c>
      <x:c r="J155" s="22" t="str">
        <x:v>General adult presentation</x:v>
      </x:c>
      <x:c r="K155" s="22" t="str">
        <x:v>No</x:v>
      </x:c>
      <x:c r="L155" s="22" t="str">
        <x:v>No</x:v>
      </x:c>
      <x:c r="M155" s="22" t="n">
        <x:v>1.53</x:v>
      </x:c>
      <x:c r="N155" s="22" t="str">
        <x:v>None</x:v>
      </x:c>
      <x:c r="O155" s="22" t="str">
        <x:v>No</x:v>
      </x:c>
      <x:c r="P155" s="22" t="str">
        <x:v>No</x:v>
      </x:c>
      <x:c r="Q155" s="22" t="str">
        <x:v>Not applicable</x:v>
      </x:c>
      <x:c r="R155" s="22" t="str">
        <x:v>Not applicable</x:v>
      </x:c>
      <x:c r="S155" s="22" t="str">
        <x:v>No</x:v>
      </x:c>
      <x:c r="T155" s="22" t="str">
        <x:v>No</x:v>
      </x:c>
      <x:c r="U155" s="22" t="str">
        <x:v>No</x:v>
      </x:c>
      <x:c r="V155" s="22" t="str">
        <x:v>seizure</x:v>
      </x:c>
      <x:c r="W155" s="22" t="str">
        <x:v>No</x:v>
      </x:c>
      <x:c r="X155" s="22" t="str">
        <x:v>Uncertain</x:v>
      </x:c>
      <x:c r="Y155" s="22" t="n">
        <x:v>14.3</x:v>
      </x:c>
      <x:c r="Z155" s="22" t="str">
        <x:v>NICE-UNSUPPORTED-001</x:v>
      </x:c>
      <x:c r="AA155" s="22" t="str">
        <x:v>No definitive NICE-only management</x:v>
      </x:c>
      <x:c r="AB155" s="22" t="str">
        <x:v>Clinical review required</x:v>
      </x:c>
      <x:c r="AC155" s="22" t="str">
        <x:v>No definitive NICE-only management output</x:v>
      </x:c>
      <x:c r="AD155" s="22" t="str">
        <x:v>Do not generate treatment instructions. Display that an approved local protocol or specialist review is required.</x:v>
      </x:c>
      <x:c r="AE155" s="22" t="str">
        <x:v>This is a safety rule, not a treatment recommendation.</x:v>
      </x:c>
      <x:c r="AF155" s="22" t="str"/>
      <x:c r="AG155" s="22" t="str"/>
      <x:c r="AH155" s="22" t="str">
        <x:v>Hypocalcaemia adult General adult presentation guideline systematic review clinical review</x:v>
      </x:c>
      <x:c r="AI155" s="22" t="str">
        <x:v>validation</x:v>
      </x:c>
      <x:c r="AJ155" s="22" t="str">
        <x:v>Yes</x:v>
      </x:c>
      <x:c r="AK155" s="22" t="str">
        <x:v>Pending</x:v>
      </x:c>
    </x:row>
    <x:row r="156">
      <x:c r="A156" t="str">
        <x:v>CASE-0756</x:v>
      </x:c>
      <x:c r="B156" s="22" t="str">
        <x:v>23-year-old male with hypermagnesaemia. Magnesium is 4.63 mmol/L; baseline is 4.33 mmol/L. Context: General adult presentation. Symptoms: None reported. IV fluids: No; CKD stage: None; heart failure: No; AKI: No; dialysis: No; eGFR: 41.3 mL/min/1.73m².</x:v>
      </x:c>
      <x:c r="C156" t="n">
        <x:v>23</x:v>
      </x:c>
      <x:c r="D156" t="str">
        <x:v>Male</x:v>
      </x:c>
      <x:c r="E156" t="str">
        <x:v>Not applicable</x:v>
      </x:c>
      <x:c r="F156" t="str">
        <x:v>Magnesium</x:v>
      </x:c>
      <x:c r="G156" t="str">
        <x:v>Hypermagnesaemia</x:v>
      </x:c>
      <x:c r="H156" t="n">
        <x:v>4.63</x:v>
      </x:c>
      <x:c r="I156" t="str">
        <x:v>mmol/L</x:v>
      </x:c>
      <x:c r="J156" s="22" t="str">
        <x:v>General adult presentation</x:v>
      </x:c>
      <x:c r="K156" s="22" t="str">
        <x:v>No</x:v>
      </x:c>
      <x:c r="L156" s="22" t="str">
        <x:v>No</x:v>
      </x:c>
      <x:c r="M156" s="22" t="n">
        <x:v>4.33</x:v>
      </x:c>
      <x:c r="N156" s="22" t="str">
        <x:v>None</x:v>
      </x:c>
      <x:c r="O156" s="22" t="str">
        <x:v>No</x:v>
      </x:c>
      <x:c r="P156" s="22" t="str">
        <x:v>No</x:v>
      </x:c>
      <x:c r="Q156" s="22" t="str">
        <x:v>Not applicable</x:v>
      </x:c>
      <x:c r="R156" s="22" t="str">
        <x:v>Not applicable</x:v>
      </x:c>
      <x:c r="S156" s="22" t="str">
        <x:v>No</x:v>
      </x:c>
      <x:c r="T156" s="22" t="str">
        <x:v>No</x:v>
      </x:c>
      <x:c r="U156" s="22" t="str">
        <x:v>No</x:v>
      </x:c>
      <x:c r="V156" s="22" t="str">
        <x:v>None reported</x:v>
      </x:c>
      <x:c r="W156" s="22" t="str">
        <x:v>No</x:v>
      </x:c>
      <x:c r="X156" s="22" t="str">
        <x:v>Uncertain</x:v>
      </x:c>
      <x:c r="Y156" s="22" t="n">
        <x:v>41.3</x:v>
      </x:c>
      <x:c r="Z156" s="22" t="str">
        <x:v>NICE-UNSUPPORTED-001</x:v>
      </x:c>
      <x:c r="AA156" s="22" t="str">
        <x:v>No definitive NICE-only management</x:v>
      </x:c>
      <x:c r="AB156" s="22" t="str">
        <x:v>Clinical review required</x:v>
      </x:c>
      <x:c r="AC156" s="22" t="str">
        <x:v>No definitive NICE-only management output</x:v>
      </x:c>
      <x:c r="AD156" s="22" t="str">
        <x:v>Do not generate treatment instructions. Display that an approved local protocol or specialist review is required.</x:v>
      </x:c>
      <x:c r="AE156" s="22" t="str">
        <x:v>This is a safety rule, not a treatment recommendation.</x:v>
      </x:c>
      <x:c r="AF156" s="22" t="str"/>
      <x:c r="AG156" s="22" t="str"/>
      <x:c r="AH156" s="22" t="str">
        <x:v>Hypermagnesaemia adult General adult presentation guideline systematic review clinical review</x:v>
      </x:c>
      <x:c r="AI156" s="22" t="str">
        <x:v>validation</x:v>
      </x:c>
      <x:c r="AJ156" s="22" t="str">
        <x:v>Yes</x:v>
      </x:c>
      <x:c r="AK156" s="22" t="str">
        <x:v>Pending</x:v>
      </x:c>
    </x:row>
    <x:row r="157">
      <x:c r="A157" t="str">
        <x:v>CASE-0543</x:v>
      </x:c>
      <x:c r="B157" s="22" t="str">
        <x:v>64-year-old female with hypercalcaemia. Adjusted calcium is 2.72 mmol/L; baseline is 2.92 mmol/L. Context: Possible primary hyperparathyroidism. Symptoms: thirst, confusion. IV fluids: No; CKD stage: None; heart failure: No; AKI: No; dialysis: No; eGFR: 38.4 mL/min/1.73m².</x:v>
      </x:c>
      <x:c r="C157" t="n">
        <x:v>64</x:v>
      </x:c>
      <x:c r="D157" t="str">
        <x:v>Female</x:v>
      </x:c>
      <x:c r="E157" t="str">
        <x:v>Not applicable</x:v>
      </x:c>
      <x:c r="F157" t="str">
        <x:v>Adjusted calcium</x:v>
      </x:c>
      <x:c r="G157" t="str">
        <x:v>Hypercalcaemia</x:v>
      </x:c>
      <x:c r="H157" t="n">
        <x:v>2.72</x:v>
      </x:c>
      <x:c r="I157" t="str">
        <x:v>mmol/L</x:v>
      </x:c>
      <x:c r="J157" s="22" t="str">
        <x:v>Possible primary hyperparathyroidism</x:v>
      </x:c>
      <x:c r="K157" s="22" t="str">
        <x:v>No</x:v>
      </x:c>
      <x:c r="L157" s="22" t="str">
        <x:v>No</x:v>
      </x:c>
      <x:c r="M157" s="22" t="n">
        <x:v>2.92</x:v>
      </x:c>
      <x:c r="N157" s="22" t="str">
        <x:v>None</x:v>
      </x:c>
      <x:c r="O157" s="22" t="str">
        <x:v>No</x:v>
      </x:c>
      <x:c r="P157" s="22" t="str">
        <x:v>No</x:v>
      </x:c>
      <x:c r="Q157" s="22" t="str">
        <x:v>Not applicable</x:v>
      </x:c>
      <x:c r="R157" s="22" t="str">
        <x:v>Not applicable</x:v>
      </x:c>
      <x:c r="S157" s="22" t="str">
        <x:v>No</x:v>
      </x:c>
      <x:c r="T157" s="22" t="str">
        <x:v>No</x:v>
      </x:c>
      <x:c r="U157" s="22" t="str">
        <x:v>No</x:v>
      </x:c>
      <x:c r="V157" s="22" t="str">
        <x:v>thirst, confusion</x:v>
      </x:c>
      <x:c r="W157" s="22" t="str">
        <x:v>No</x:v>
      </x:c>
      <x:c r="X157" s="22" t="str">
        <x:v>Uncertain</x:v>
      </x:c>
      <x:c r="Y157" s="22" t="n">
        <x:v>38.4</x:v>
      </x:c>
      <x:c r="Z157" s="22" t="str">
        <x:v>NICE-CA-PHPT-SCREEN-001</x:v>
      </x:c>
      <x:c r="AA157" s="22" t="str">
        <x:v>Specific context-based NICE guidance</x:v>
      </x:c>
      <x:c r="AB157" s="22" t="str">
        <x:v>Diagnostic assessment</x:v>
      </x:c>
      <x:c r="AC157" s="22" t="str">
        <x:v>Specific NICE diagnostic guidance</x:v>
      </x:c>
      <x:c r="AD157" s="22" t="str">
        <x:v>Use albumin-adjusted serum calcium in the NICE diagnostic pathway for primary hyperparathyroidism.</x:v>
      </x:c>
      <x:c r="AE157" s="22" t="str">
        <x:v>Not an acute general hypercalcaemia pathway.</x:v>
      </x:c>
      <x:c r="AF157" s="22" t="str">
        <x:v>NICE-NG132</x:v>
      </x:c>
      <x:c r="AG157" s="22" t="str">
        <x:v>1.1.1 and Terms used</x:v>
      </x:c>
      <x:c r="AH157" s="22" t="str">
        <x:v>Hypercalcaemia adult Possible primary hyperparathyroidism guideline systematic review clinical review</x:v>
      </x:c>
      <x:c r="AI157" s="22" t="str">
        <x:v>validation</x:v>
      </x:c>
      <x:c r="AJ157" s="22" t="str">
        <x:v>Yes</x:v>
      </x:c>
      <x:c r="AK157" s="22" t="str">
        <x:v>Pending</x:v>
      </x:c>
    </x:row>
    <x:row r="158">
      <x:c r="A158" t="str">
        <x:v>CASE-0511</x:v>
      </x:c>
      <x:c r="B158" s="22" t="str">
        <x:v>77-year-old male with hypercalcaemia. Adjusted calcium is 3.04 mmol/L; baseline is 3.58 mmol/L. Context: Possible primary hyperparathyroidism. Symptoms: None reported. IV fluids: No; CKD stage: None; heart failure: No; AKI: No; dialysis: No; eGFR: 66.8 mL/min/1.73m².</x:v>
      </x:c>
      <x:c r="C158" t="n">
        <x:v>77</x:v>
      </x:c>
      <x:c r="D158" t="str">
        <x:v>Male</x:v>
      </x:c>
      <x:c r="E158" t="str">
        <x:v>Not applicable</x:v>
      </x:c>
      <x:c r="F158" t="str">
        <x:v>Adjusted calcium</x:v>
      </x:c>
      <x:c r="G158" t="str">
        <x:v>Hypercalcaemia</x:v>
      </x:c>
      <x:c r="H158" t="n">
        <x:v>3.04</x:v>
      </x:c>
      <x:c r="I158" t="str">
        <x:v>mmol/L</x:v>
      </x:c>
      <x:c r="J158" s="22" t="str">
        <x:v>Possible primary hyperparathyroidism</x:v>
      </x:c>
      <x:c r="K158" s="22" t="str">
        <x:v>No</x:v>
      </x:c>
      <x:c r="L158" s="22" t="str">
        <x:v>No</x:v>
      </x:c>
      <x:c r="M158" s="22" t="n">
        <x:v>3.58</x:v>
      </x:c>
      <x:c r="N158" s="22" t="str">
        <x:v>None</x:v>
      </x:c>
      <x:c r="O158" s="22" t="str">
        <x:v>No</x:v>
      </x:c>
      <x:c r="P158" s="22" t="str">
        <x:v>No</x:v>
      </x:c>
      <x:c r="Q158" s="22" t="str">
        <x:v>Not applicable</x:v>
      </x:c>
      <x:c r="R158" s="22" t="str">
        <x:v>Not applicable</x:v>
      </x:c>
      <x:c r="S158" s="22" t="str">
        <x:v>No</x:v>
      </x:c>
      <x:c r="T158" s="22" t="str">
        <x:v>No</x:v>
      </x:c>
      <x:c r="U158" s="22" t="str">
        <x:v>No</x:v>
      </x:c>
      <x:c r="V158" s="22" t="str">
        <x:v>None reported</x:v>
      </x:c>
      <x:c r="W158" s="22" t="str">
        <x:v>No</x:v>
      </x:c>
      <x:c r="X158" s="22" t="str">
        <x:v>Hypervolaemic</x:v>
      </x:c>
      <x:c r="Y158" s="22" t="n">
        <x:v>66.8</x:v>
      </x:c>
      <x:c r="Z158" s="22" t="str">
        <x:v>NICE-CA-PHPT-SCREEN-001</x:v>
      </x:c>
      <x:c r="AA158" s="22" t="str">
        <x:v>Specific context-based NICE guidance</x:v>
      </x:c>
      <x:c r="AB158" s="22" t="str">
        <x:v>Diagnostic assessment</x:v>
      </x:c>
      <x:c r="AC158" s="22" t="str">
        <x:v>Specific NICE diagnostic guidance</x:v>
      </x:c>
      <x:c r="AD158" s="22" t="str">
        <x:v>Use albumin-adjusted serum calcium in the NICE diagnostic pathway for primary hyperparathyroidism.</x:v>
      </x:c>
      <x:c r="AE158" s="22" t="str">
        <x:v>Not an acute general hypercalcaemia pathway.</x:v>
      </x:c>
      <x:c r="AF158" s="22" t="str">
        <x:v>NICE-NG132</x:v>
      </x:c>
      <x:c r="AG158" s="22" t="str">
        <x:v>1.1.1 and Terms used</x:v>
      </x:c>
      <x:c r="AH158" s="22" t="str">
        <x:v>Hypercalcaemia adult Possible primary hyperparathyroidism guideline systematic review clinical review</x:v>
      </x:c>
      <x:c r="AI158" s="22" t="str">
        <x:v>test</x:v>
      </x:c>
      <x:c r="AJ158" s="22" t="str">
        <x:v>Yes</x:v>
      </x:c>
      <x:c r="AK158" s="22" t="str">
        <x:v>Pending</x:v>
      </x:c>
    </x:row>
    <x:row r="159">
      <x:c r="A159" t="str">
        <x:v>CASE-0390</x:v>
      </x:c>
      <x:c r="B159" s="22" t="str">
        <x:v>20-year-old male with hyperkalaemia. Potassium is 7.17 mmol/L; baseline is 7.04 mmol/L. Context: Persistent hyperkalaemia. Symptoms: palpitations, nausea, weakness. IV fluids: No; CKD stage: 3a; heart failure: Yes; AKI: No; dialysis: No; eGFR: 22.1 mL/min/1.73m².</x:v>
      </x:c>
      <x:c r="C159" t="n">
        <x:v>20</x:v>
      </x:c>
      <x:c r="D159" t="str">
        <x:v>Male</x:v>
      </x:c>
      <x:c r="E159" t="str">
        <x:v>Not applicable</x:v>
      </x:c>
      <x:c r="F159" t="str">
        <x:v>Potassium</x:v>
      </x:c>
      <x:c r="G159" t="str">
        <x:v>Hyperkalaemia</x:v>
      </x:c>
      <x:c r="H159" t="n">
        <x:v>7.17</x:v>
      </x:c>
      <x:c r="I159" t="str">
        <x:v>mmol/L</x:v>
      </x:c>
      <x:c r="J159" s="22" t="str">
        <x:v>Persistent hyperkalaemia</x:v>
      </x:c>
      <x:c r="K159" s="22" t="str">
        <x:v>No</x:v>
      </x:c>
      <x:c r="L159" s="22" t="str">
        <x:v>No</x:v>
      </x:c>
      <x:c r="M159" s="22" t="n">
        <x:v>7.04</x:v>
      </x:c>
      <x:c r="N159" s="22" t="str">
        <x:v>3a</x:v>
      </x:c>
      <x:c r="O159" s="22" t="str">
        <x:v>Yes</x:v>
      </x:c>
      <x:c r="P159" s="22" t="str">
        <x:v>No</x:v>
      </x:c>
      <x:c r="Q159" s="22" t="str">
        <x:v>Optimised</x:v>
      </x:c>
      <x:c r="R159" s="22" t="str">
        <x:v>Not applicable</x:v>
      </x:c>
      <x:c r="S159" s="22" t="str">
        <x:v>No</x:v>
      </x:c>
      <x:c r="T159" s="22" t="str">
        <x:v>No</x:v>
      </x:c>
      <x:c r="U159" s="22" t="str">
        <x:v>No</x:v>
      </x:c>
      <x:c r="V159" s="22" t="str">
        <x:v>palpitations, nausea, weakness</x:v>
      </x:c>
      <x:c r="W159" s="22" t="str">
        <x:v>No</x:v>
      </x:c>
      <x:c r="X159" s="22" t="str">
        <x:v>Hypervolaemic</x:v>
      </x:c>
      <x:c r="Y159" s="22" t="n">
        <x:v>22.1</x:v>
      </x:c>
      <x:c r="Z159" s="22" t="str">
        <x:v>NICE-UNSUPPORTED-001</x:v>
      </x:c>
      <x:c r="AA159" s="22" t="str">
        <x:v>No definitive NICE-only management</x:v>
      </x:c>
      <x:c r="AB159" s="22" t="str">
        <x:v>Clinical review required</x:v>
      </x:c>
      <x:c r="AC159" s="22" t="str">
        <x:v>No definitive NICE-only management output</x:v>
      </x:c>
      <x:c r="AD159" s="22" t="str">
        <x:v>Do not generate treatment instructions. Display that an approved local protocol or specialist review is required.</x:v>
      </x:c>
      <x:c r="AE159" s="22" t="str">
        <x:v>This is a safety rule, not a treatment recommendation.</x:v>
      </x:c>
      <x:c r="AF159" s="22" t="str"/>
      <x:c r="AG159" s="22" t="str"/>
      <x:c r="AH159" s="22" t="str">
        <x:v>Hyperkalaemia adult Persistent hyperkalaemia guideline systematic review clinical review</x:v>
      </x:c>
      <x:c r="AI159" s="22" t="str">
        <x:v>test</x:v>
      </x:c>
      <x:c r="AJ159" s="22" t="str">
        <x:v>Yes</x:v>
      </x:c>
      <x:c r="AK159" s="22" t="str">
        <x:v>Pending</x:v>
      </x:c>
    </x:row>
    <x:row r="160">
      <x:c r="A160" t="str">
        <x:v>CASE-0134</x:v>
      </x:c>
      <x:c r="B160" s="22" t="str">
        <x:v>75-year-old male with hypernatraemia. Sodium is 156.6 mmol/L; baseline is 168.0 mmol/L. Context: General adult presentation. Symptoms: lethargy, confusion. IV fluids: No; CKD stage: None; heart failure: No; AKI: No; dialysis: No; eGFR: 50.0 mL/min/1.73m².</x:v>
      </x:c>
      <x:c r="C160" t="n">
        <x:v>75</x:v>
      </x:c>
      <x:c r="D160" t="str">
        <x:v>Male</x:v>
      </x:c>
      <x:c r="E160" t="str">
        <x:v>Not applicable</x:v>
      </x:c>
      <x:c r="F160" t="str">
        <x:v>Sodium</x:v>
      </x:c>
      <x:c r="G160" t="str">
        <x:v>Hypernatraemia</x:v>
      </x:c>
      <x:c r="H160" t="n">
        <x:v>156.6</x:v>
      </x:c>
      <x:c r="I160" t="str">
        <x:v>mmol/L</x:v>
      </x:c>
      <x:c r="J160" s="22" t="str">
        <x:v>General adult presentation</x:v>
      </x:c>
      <x:c r="K160" s="22" t="str">
        <x:v>No</x:v>
      </x:c>
      <x:c r="L160" s="22" t="str">
        <x:v>No</x:v>
      </x:c>
      <x:c r="M160" s="22" t="n">
        <x:v>168</x:v>
      </x:c>
      <x:c r="N160" s="22" t="str">
        <x:v>None</x:v>
      </x:c>
      <x:c r="O160" s="22" t="str">
        <x:v>No</x:v>
      </x:c>
      <x:c r="P160" s="22" t="str">
        <x:v>No</x:v>
      </x:c>
      <x:c r="Q160" s="22" t="str">
        <x:v>Not applicable</x:v>
      </x:c>
      <x:c r="R160" s="22" t="str">
        <x:v>Not applicable</x:v>
      </x:c>
      <x:c r="S160" s="22" t="str">
        <x:v>No</x:v>
      </x:c>
      <x:c r="T160" s="22" t="str">
        <x:v>No</x:v>
      </x:c>
      <x:c r="U160" s="22" t="str">
        <x:v>No</x:v>
      </x:c>
      <x:c r="V160" s="22" t="str">
        <x:v>lethargy, confusion</x:v>
      </x:c>
      <x:c r="W160" s="22" t="str">
        <x:v>No</x:v>
      </x:c>
      <x:c r="X160" s="22" t="str">
        <x:v>Uncertain</x:v>
      </x:c>
      <x:c r="Y160" s="22" t="n">
        <x:v>50</x:v>
      </x:c>
      <x:c r="Z160" s="22" t="str">
        <x:v>NICE-UNSUPPORTED-001</x:v>
      </x:c>
      <x:c r="AA160" s="22" t="str">
        <x:v>No definitive NICE-only management</x:v>
      </x:c>
      <x:c r="AB160" s="22" t="str">
        <x:v>Clinical review required</x:v>
      </x:c>
      <x:c r="AC160" s="22" t="str">
        <x:v>No definitive NICE-only management output</x:v>
      </x:c>
      <x:c r="AD160" s="22" t="str">
        <x:v>Do not generate treatment instructions. Display that an approved local protocol or specialist review is required.</x:v>
      </x:c>
      <x:c r="AE160" s="22" t="str">
        <x:v>This is a safety rule, not a treatment recommendation.</x:v>
      </x:c>
      <x:c r="AF160" s="22" t="str"/>
      <x:c r="AG160" s="22" t="str"/>
      <x:c r="AH160" s="22" t="str">
        <x:v>Hypernatraemia adult General adult presentation guideline systematic review clinical review</x:v>
      </x:c>
      <x:c r="AI160" s="22" t="str">
        <x:v>test</x:v>
      </x:c>
      <x:c r="AJ160" s="22" t="str">
        <x:v>Yes</x:v>
      </x:c>
      <x:c r="AK160" s="22" t="str">
        <x:v>Pending</x:v>
      </x:c>
    </x:row>
    <x:row r="161">
      <x:c r="A161" t="str">
        <x:v>CASE-0996</x:v>
      </x:c>
      <x:c r="B161" s="22" t="str">
        <x:v>20-year-old female with no detected magnesium abnormality. Magnesium is 0.93 mmol/L. General adult presentation.</x:v>
      </x:c>
      <x:c r="C161" t="n">
        <x:v>20</x:v>
      </x:c>
      <x:c r="D161" t="str">
        <x:v>Female</x:v>
      </x:c>
      <x:c r="E161" t="str">
        <x:v>Not applicable</x:v>
      </x:c>
      <x:c r="F161" t="str">
        <x:v>Magnesium</x:v>
      </x:c>
      <x:c r="G161" t="str">
        <x:v>No abnormality detected</x:v>
      </x:c>
      <x:c r="H161" t="n">
        <x:v>0.93</x:v>
      </x:c>
      <x:c r="I161" t="str">
        <x:v>mmol/L</x:v>
      </x:c>
      <x:c r="J161" s="22" t="str">
        <x:v>General adult presentation</x:v>
      </x:c>
      <x:c r="K161" s="22" t="str">
        <x:v>No</x:v>
      </x:c>
      <x:c r="L161" s="22" t="str">
        <x:v>No</x:v>
      </x:c>
      <x:c r="M161" s="22" t="n">
        <x:v>0.93</x:v>
      </x:c>
      <x:c r="N161" s="22" t="str">
        <x:v>None</x:v>
      </x:c>
      <x:c r="O161" s="22" t="str">
        <x:v>No</x:v>
      </x:c>
      <x:c r="P161" s="22" t="str">
        <x:v>No</x:v>
      </x:c>
      <x:c r="Q161" s="22" t="str">
        <x:v>Not applicable</x:v>
      </x:c>
      <x:c r="R161" s="22" t="str">
        <x:v>Not applicable</x:v>
      </x:c>
      <x:c r="S161" s="22" t="str">
        <x:v>No</x:v>
      </x:c>
      <x:c r="T161" s="22" t="str">
        <x:v>No</x:v>
      </x:c>
      <x:c r="U161" s="22" t="str">
        <x:v>No</x:v>
      </x:c>
      <x:c r="V161" s="22" t="str">
        <x:v>None reported</x:v>
      </x:c>
      <x:c r="W161" s="22" t="str">
        <x:v>No</x:v>
      </x:c>
      <x:c r="X161" s="22" t="str">
        <x:v>Euvolaemic</x:v>
      </x:c>
      <x:c r="Y161" s="22" t="n">
        <x:v>99.9</x:v>
      </x:c>
      <x:c r="Z161" s="22" t="str">
        <x:v>NICE-GLOBAL-ASSESS-001</x:v>
      </x:c>
      <x:c r="AA161" s="22" t="str">
        <x:v>General NICE assessment only</x:v>
      </x:c>
      <x:c r="AB161" s="22" t="str">
        <x:v>Routine review</x:v>
      </x:c>
      <x:c r="AC161" s="22" t="str">
        <x:v>No abnormality-specific management</x:v>
      </x:c>
      <x:c r="AD161" s="22" t="str">
        <x:v>No electrolyte abnormality is detected by the synthetic reference range; interpret the result with the full clinical picture.</x:v>
      </x:c>
      <x:c r="AE161" s="22" t="str">
        <x:v>Synthetic reference ranges are not NICE management thresholds.</x:v>
      </x:c>
      <x:c r="AF161" s="22" t="str">
        <x:v>NICE-CG174</x:v>
      </x:c>
      <x:c r="AG161" s="22" t="str">
        <x:v>1.1.1 and 1.2.2</x:v>
      </x:c>
      <x:c r="AH161" s="22" t="str">
        <x:v>Magnesium reference interval adult laboratory interpretation</x:v>
      </x:c>
      <x:c r="AI161" s="22" t="str">
        <x:v>train</x:v>
      </x:c>
      <x:c r="AJ161" s="22" t="str">
        <x:v>Yes</x:v>
      </x:c>
      <x:c r="AK161" s="22" t="str">
        <x:v>Pending</x:v>
      </x:c>
    </x:row>
    <x:row r="162">
      <x:c r="A162" t="str">
        <x:v>CASE-0031</x:v>
      </x:c>
      <x:c r="B162" s="22" t="str">
        <x:v>34-year-old female with hyponatraemia. Sodium is 129.5 mmol/L; baseline is 135.3 mmol/L. Context: IV-fluid-related. Symptoms: lethargy. IV fluids: Yes; CKD stage: None; heart failure: No; AKI: No; dialysis: No; eGFR: 16.3 mL/min/1.73m².</x:v>
      </x:c>
      <x:c r="C162" t="n">
        <x:v>34</x:v>
      </x:c>
      <x:c r="D162" t="str">
        <x:v>Female</x:v>
      </x:c>
      <x:c r="E162" t="str">
        <x:v>Not pregnant</x:v>
      </x:c>
      <x:c r="F162" t="str">
        <x:v>Sodium</x:v>
      </x:c>
      <x:c r="G162" t="str">
        <x:v>Hyponatraemia</x:v>
      </x:c>
      <x:c r="H162" t="n">
        <x:v>129.5</x:v>
      </x:c>
      <x:c r="I162" t="str">
        <x:v>mmol/L</x:v>
      </x:c>
      <x:c r="J162" s="22" t="str">
        <x:v>IV-fluid-related</x:v>
      </x:c>
      <x:c r="K162" s="22" t="str">
        <x:v>Yes</x:v>
      </x:c>
      <x:c r="L162" s="22" t="str">
        <x:v>No</x:v>
      </x:c>
      <x:c r="M162" s="22" t="n">
        <x:v>135.3</x:v>
      </x:c>
      <x:c r="N162" s="22" t="str">
        <x:v>None</x:v>
      </x:c>
      <x:c r="O162" s="22" t="str">
        <x:v>No</x:v>
      </x:c>
      <x:c r="P162" s="22" t="str">
        <x:v>No</x:v>
      </x:c>
      <x:c r="Q162" s="22" t="str">
        <x:v>Not applicable</x:v>
      </x:c>
      <x:c r="R162" s="22" t="str">
        <x:v>Not applicable</x:v>
      </x:c>
      <x:c r="S162" s="22" t="str">
        <x:v>No</x:v>
      </x:c>
      <x:c r="T162" s="22" t="str">
        <x:v>No</x:v>
      </x:c>
      <x:c r="U162" s="22" t="str">
        <x:v>No</x:v>
      </x:c>
      <x:c r="V162" s="22" t="str">
        <x:v>lethargy</x:v>
      </x:c>
      <x:c r="W162" s="22" t="str">
        <x:v>No</x:v>
      </x:c>
      <x:c r="X162" s="22" t="str">
        <x:v>Uncertain</x:v>
      </x:c>
      <x:c r="Y162" s="22" t="n">
        <x:v>16.3</x:v>
      </x:c>
      <x:c r="Z162" s="22" t="str">
        <x:v>NICE-NA-HYPO-IV-001</x:v>
      </x:c>
      <x:c r="AA162" s="22" t="str">
        <x:v>NICE detection / reassessment / escalation</x:v>
      </x:c>
      <x:c r="AB162" s="22" t="str">
        <x:v>Urgent review</x:v>
      </x:c>
      <x:c r="AC162" s="22" t="str">
        <x:v>NICE detection, reassessment and escalation</x:v>
      </x:c>
      <x:c r="AD162" s="22" t="str">
        <x:v>Treat as possible IV-fluid mismanagement: reassess the fluid prescription and monitoring plan, and seek expert help for a complex imbalance.</x:v>
      </x:c>
      <x:c r="AE162" s="22" t="str">
        <x:v>No definitive sodium-correction regimen is provided by CG174.</x:v>
      </x:c>
      <x:c r="AF162" s="22" t="str">
        <x:v>NICE-CG174</x:v>
      </x:c>
      <x:c r="AG162" s="22" t="str">
        <x:v>1.2.4, 1.5.1, 1.5.2, Table 1</x:v>
      </x:c>
      <x:c r="AH162" s="22" t="str">
        <x:v>Hyponatraemia adult IV-fluid-related guideline systematic review clinical review</x:v>
      </x:c>
      <x:c r="AI162" s="22" t="str">
        <x:v>train</x:v>
      </x:c>
      <x:c r="AJ162" s="22" t="str">
        <x:v>Yes</x:v>
      </x:c>
      <x:c r="AK162" s="22" t="str">
        <x:v>Pending</x:v>
      </x:c>
    </x:row>
    <x:row r="163">
      <x:c r="A163" t="str">
        <x:v>CASE-0033</x:v>
      </x:c>
      <x:c r="B163" s="22" t="str">
        <x:v>81-year-old male with hyponatraemia. Sodium is 129.5 mmol/L; baseline is 137.9 mmol/L. Context: IV-fluid-related. Symptoms: headache. IV fluids: Yes; CKD stage: None; heart failure: No; AKI: No; dialysis: No; eGFR: 84.5 mL/min/1.73m².</x:v>
      </x:c>
      <x:c r="C163" t="n">
        <x:v>81</x:v>
      </x:c>
      <x:c r="D163" t="str">
        <x:v>Male</x:v>
      </x:c>
      <x:c r="E163" t="str">
        <x:v>Not applicable</x:v>
      </x:c>
      <x:c r="F163" t="str">
        <x:v>Sodium</x:v>
      </x:c>
      <x:c r="G163" t="str">
        <x:v>Hyponatraemia</x:v>
      </x:c>
      <x:c r="H163" t="n">
        <x:v>129.5</x:v>
      </x:c>
      <x:c r="I163" t="str">
        <x:v>mmol/L</x:v>
      </x:c>
      <x:c r="J163" s="22" t="str">
        <x:v>IV-fluid-related</x:v>
      </x:c>
      <x:c r="K163" s="22" t="str">
        <x:v>Yes</x:v>
      </x:c>
      <x:c r="L163" s="22" t="str">
        <x:v>No</x:v>
      </x:c>
      <x:c r="M163" s="22" t="n">
        <x:v>137.9</x:v>
      </x:c>
      <x:c r="N163" s="22" t="str">
        <x:v>None</x:v>
      </x:c>
      <x:c r="O163" s="22" t="str">
        <x:v>No</x:v>
      </x:c>
      <x:c r="P163" s="22" t="str">
        <x:v>No</x:v>
      </x:c>
      <x:c r="Q163" s="22" t="str">
        <x:v>Not applicable</x:v>
      </x:c>
      <x:c r="R163" s="22" t="str">
        <x:v>Not applicable</x:v>
      </x:c>
      <x:c r="S163" s="22" t="str">
        <x:v>No</x:v>
      </x:c>
      <x:c r="T163" s="22" t="str">
        <x:v>No</x:v>
      </x:c>
      <x:c r="U163" s="22" t="str">
        <x:v>No</x:v>
      </x:c>
      <x:c r="V163" s="22" t="str">
        <x:v>headache</x:v>
      </x:c>
      <x:c r="W163" s="22" t="str">
        <x:v>No</x:v>
      </x:c>
      <x:c r="X163" s="22" t="str">
        <x:v>Hypervolaemic</x:v>
      </x:c>
      <x:c r="Y163" s="22" t="n">
        <x:v>84.5</x:v>
      </x:c>
      <x:c r="Z163" s="22" t="str">
        <x:v>NICE-NA-HYPO-IV-001</x:v>
      </x:c>
      <x:c r="AA163" s="22" t="str">
        <x:v>NICE detection / reassessment / escalation</x:v>
      </x:c>
      <x:c r="AB163" s="22" t="str">
        <x:v>Urgent review</x:v>
      </x:c>
      <x:c r="AC163" s="22" t="str">
        <x:v>NICE detection, reassessment and escalation</x:v>
      </x:c>
      <x:c r="AD163" s="22" t="str">
        <x:v>Treat as possible IV-fluid mismanagement: reassess the fluid prescription and monitoring plan, and seek expert help for a complex imbalance.</x:v>
      </x:c>
      <x:c r="AE163" s="22" t="str">
        <x:v>No definitive sodium-correction regimen is provided by CG174.</x:v>
      </x:c>
      <x:c r="AF163" s="22" t="str">
        <x:v>NICE-CG174</x:v>
      </x:c>
      <x:c r="AG163" s="22" t="str">
        <x:v>1.2.4, 1.5.1, 1.5.2, Table 1</x:v>
      </x:c>
      <x:c r="AH163" s="22" t="str">
        <x:v>Hyponatraemia adult IV-fluid-related guideline systematic review clinical review</x:v>
      </x:c>
      <x:c r="AI163" s="22" t="str">
        <x:v>train</x:v>
      </x:c>
      <x:c r="AJ163" s="22" t="str">
        <x:v>Yes</x:v>
      </x:c>
      <x:c r="AK163" s="22" t="str">
        <x:v>Pending</x:v>
      </x:c>
    </x:row>
    <x:row r="164">
      <x:c r="A164" t="str">
        <x:v>CASE-0805</x:v>
      </x:c>
      <x:c r="B164" s="22" t="str">
        <x:v>66-year-old male with no detected sodium abnormality. Sodium is 141.9 mmol/L. General adult presentation.</x:v>
      </x:c>
      <x:c r="C164" t="n">
        <x:v>66</x:v>
      </x:c>
      <x:c r="D164" t="str">
        <x:v>Male</x:v>
      </x:c>
      <x:c r="E164" t="str">
        <x:v>Not applicable</x:v>
      </x:c>
      <x:c r="F164" t="str">
        <x:v>Sodium</x:v>
      </x:c>
      <x:c r="G164" t="str">
        <x:v>No abnormality detected</x:v>
      </x:c>
      <x:c r="H164" t="n">
        <x:v>141.9</x:v>
      </x:c>
      <x:c r="I164" t="str">
        <x:v>mmol/L</x:v>
      </x:c>
      <x:c r="J164" s="22" t="str">
        <x:v>General adult presentation</x:v>
      </x:c>
      <x:c r="K164" s="22" t="str">
        <x:v>No</x:v>
      </x:c>
      <x:c r="L164" s="22" t="str">
        <x:v>No</x:v>
      </x:c>
      <x:c r="M164" s="22" t="n">
        <x:v>141.9</x:v>
      </x:c>
      <x:c r="N164" s="22" t="str">
        <x:v>None</x:v>
      </x:c>
      <x:c r="O164" s="22" t="str">
        <x:v>No</x:v>
      </x:c>
      <x:c r="P164" s="22" t="str">
        <x:v>No</x:v>
      </x:c>
      <x:c r="Q164" s="22" t="str">
        <x:v>Not applicable</x:v>
      </x:c>
      <x:c r="R164" s="22" t="str">
        <x:v>Not applicable</x:v>
      </x:c>
      <x:c r="S164" s="22" t="str">
        <x:v>No</x:v>
      </x:c>
      <x:c r="T164" s="22" t="str">
        <x:v>No</x:v>
      </x:c>
      <x:c r="U164" s="22" t="str">
        <x:v>No</x:v>
      </x:c>
      <x:c r="V164" s="22" t="str">
        <x:v>None reported</x:v>
      </x:c>
      <x:c r="W164" s="22" t="str">
        <x:v>No</x:v>
      </x:c>
      <x:c r="X164" s="22" t="str">
        <x:v>Euvolaemic</x:v>
      </x:c>
      <x:c r="Y164" s="22" t="n">
        <x:v>102.5</x:v>
      </x:c>
      <x:c r="Z164" s="22" t="str">
        <x:v>NICE-GLOBAL-ASSESS-001</x:v>
      </x:c>
      <x:c r="AA164" s="22" t="str">
        <x:v>General NICE assessment only</x:v>
      </x:c>
      <x:c r="AB164" s="22" t="str">
        <x:v>Routine review</x:v>
      </x:c>
      <x:c r="AC164" s="22" t="str">
        <x:v>No abnormality-specific management</x:v>
      </x:c>
      <x:c r="AD164" s="22" t="str">
        <x:v>No electrolyte abnormality is detected by the synthetic reference range; interpret the result with the full clinical picture.</x:v>
      </x:c>
      <x:c r="AE164" s="22" t="str">
        <x:v>Synthetic reference ranges are not NICE management thresholds.</x:v>
      </x:c>
      <x:c r="AF164" s="22" t="str">
        <x:v>NICE-CG174</x:v>
      </x:c>
      <x:c r="AG164" s="22" t="str">
        <x:v>1.1.1 and 1.2.2</x:v>
      </x:c>
      <x:c r="AH164" s="22" t="str">
        <x:v>Sodium reference interval adult laboratory interpretation</x:v>
      </x:c>
      <x:c r="AI164" s="22" t="str">
        <x:v>train</x:v>
      </x:c>
      <x:c r="AJ164" s="22" t="str">
        <x:v>Yes</x:v>
      </x:c>
      <x:c r="AK164" s="22" t="str">
        <x:v>Pending</x:v>
      </x:c>
    </x:row>
    <x:row r="165">
      <x:c r="A165" t="str">
        <x:v>CASE-0115</x:v>
      </x:c>
      <x:c r="B165" s="22" t="str">
        <x:v>78-year-old male with hypernatraemia. Sodium is 163.0 mmol/L; baseline is 136.0 mmol/L. Context: IV-fluid-related. Symptoms: thirst. IV fluids: Yes; CKD stage: None; heart failure: No; AKI: No; dialysis: No; eGFR: 42.1 mL/min/1.73m².</x:v>
      </x:c>
      <x:c r="C165" t="n">
        <x:v>78</x:v>
      </x:c>
      <x:c r="D165" t="str">
        <x:v>Male</x:v>
      </x:c>
      <x:c r="E165" t="str">
        <x:v>Not applicable</x:v>
      </x:c>
      <x:c r="F165" t="str">
        <x:v>Sodium</x:v>
      </x:c>
      <x:c r="G165" t="str">
        <x:v>Hypernatraemia</x:v>
      </x:c>
      <x:c r="H165" t="n">
        <x:v>163</x:v>
      </x:c>
      <x:c r="I165" t="str">
        <x:v>mmol/L</x:v>
      </x:c>
      <x:c r="J165" s="22" t="str">
        <x:v>IV-fluid-related</x:v>
      </x:c>
      <x:c r="K165" s="22" t="str">
        <x:v>Yes</x:v>
      </x:c>
      <x:c r="L165" s="22" t="str">
        <x:v>Yes</x:v>
      </x:c>
      <x:c r="M165" s="22" t="n">
        <x:v>136</x:v>
      </x:c>
      <x:c r="N165" s="22" t="str">
        <x:v>None</x:v>
      </x:c>
      <x:c r="O165" s="22" t="str">
        <x:v>No</x:v>
      </x:c>
      <x:c r="P165" s="22" t="str">
        <x:v>No</x:v>
      </x:c>
      <x:c r="Q165" s="22" t="str">
        <x:v>Not applicable</x:v>
      </x:c>
      <x:c r="R165" s="22" t="str">
        <x:v>Not applicable</x:v>
      </x:c>
      <x:c r="S165" s="22" t="str">
        <x:v>No</x:v>
      </x:c>
      <x:c r="T165" s="22" t="str">
        <x:v>No</x:v>
      </x:c>
      <x:c r="U165" s="22" t="str">
        <x:v>No</x:v>
      </x:c>
      <x:c r="V165" s="22" t="str">
        <x:v>thirst</x:v>
      </x:c>
      <x:c r="W165" s="22" t="str">
        <x:v>No</x:v>
      </x:c>
      <x:c r="X165" s="22" t="str">
        <x:v>Hypovolaemic</x:v>
      </x:c>
      <x:c r="Y165" s="22" t="n">
        <x:v>42.1</x:v>
      </x:c>
      <x:c r="Z165" s="22" t="str">
        <x:v>NICE-NA-HYPER-IV-001</x:v>
      </x:c>
      <x:c r="AA165" s="22" t="str">
        <x:v>NICE detection / reassessment / escalation</x:v>
      </x:c>
      <x:c r="AB165" s="22" t="str">
        <x:v>Urgent review</x:v>
      </x:c>
      <x:c r="AC165" s="22" t="str">
        <x:v>NICE detection, reassessment and escalation</x:v>
      </x:c>
      <x:c r="AD165" s="22" t="str">
        <x:v>Treat as possible IV-fluid mismanagement: reassess the fluid prescription and monitoring plan, and seek expert help for the imbalance.</x:v>
      </x:c>
      <x:c r="AE165" s="22" t="str">
        <x:v>No definitive sodium-correction regimen is provided by CG174.</x:v>
      </x:c>
      <x:c r="AF165" s="22" t="str">
        <x:v>NICE-CG174</x:v>
      </x:c>
      <x:c r="AG165" s="22" t="str">
        <x:v>1.2.4, 1.5.1, 1.5.2, Table 1</x:v>
      </x:c>
      <x:c r="AH165" s="22" t="str">
        <x:v>Hypernatraemia adult IV-fluid-related guideline systematic review clinical review</x:v>
      </x:c>
      <x:c r="AI165" s="22" t="str">
        <x:v>train</x:v>
      </x:c>
      <x:c r="AJ165" s="22" t="str">
        <x:v>Yes</x:v>
      </x:c>
      <x:c r="AK165" s="22" t="str">
        <x:v>Pending</x:v>
      </x:c>
    </x:row>
    <x:row r="166">
      <x:c r="A166" t="str">
        <x:v>CASE-0824</x:v>
      </x:c>
      <x:c r="B166" s="22" t="str">
        <x:v>71-year-old female with no detected sodium abnormality. Sodium is 139.5 mmol/L. General adult presentation.</x:v>
      </x:c>
      <x:c r="C166" t="n">
        <x:v>71</x:v>
      </x:c>
      <x:c r="D166" t="str">
        <x:v>Female</x:v>
      </x:c>
      <x:c r="E166" t="str">
        <x:v>Not applicable</x:v>
      </x:c>
      <x:c r="F166" t="str">
        <x:v>Sodium</x:v>
      </x:c>
      <x:c r="G166" t="str">
        <x:v>No abnormality detected</x:v>
      </x:c>
      <x:c r="H166" t="n">
        <x:v>139.5</x:v>
      </x:c>
      <x:c r="I166" t="str">
        <x:v>mmol/L</x:v>
      </x:c>
      <x:c r="J166" s="22" t="str">
        <x:v>General adult presentation</x:v>
      </x:c>
      <x:c r="K166" s="22" t="str">
        <x:v>No</x:v>
      </x:c>
      <x:c r="L166" s="22" t="str">
        <x:v>No</x:v>
      </x:c>
      <x:c r="M166" s="22" t="n">
        <x:v>139.5</x:v>
      </x:c>
      <x:c r="N166" s="22" t="str">
        <x:v>None</x:v>
      </x:c>
      <x:c r="O166" s="22" t="str">
        <x:v>No</x:v>
      </x:c>
      <x:c r="P166" s="22" t="str">
        <x:v>No</x:v>
      </x:c>
      <x:c r="Q166" s="22" t="str">
        <x:v>Not applicable</x:v>
      </x:c>
      <x:c r="R166" s="22" t="str">
        <x:v>Not applicable</x:v>
      </x:c>
      <x:c r="S166" s="22" t="str">
        <x:v>No</x:v>
      </x:c>
      <x:c r="T166" s="22" t="str">
        <x:v>No</x:v>
      </x:c>
      <x:c r="U166" s="22" t="str">
        <x:v>No</x:v>
      </x:c>
      <x:c r="V166" s="22" t="str">
        <x:v>None reported</x:v>
      </x:c>
      <x:c r="W166" s="22" t="str">
        <x:v>No</x:v>
      </x:c>
      <x:c r="X166" s="22" t="str">
        <x:v>Euvolaemic</x:v>
      </x:c>
      <x:c r="Y166" s="22" t="n">
        <x:v>93.7</x:v>
      </x:c>
      <x:c r="Z166" s="22" t="str">
        <x:v>NICE-GLOBAL-ASSESS-001</x:v>
      </x:c>
      <x:c r="AA166" s="22" t="str">
        <x:v>General NICE assessment only</x:v>
      </x:c>
      <x:c r="AB166" s="22" t="str">
        <x:v>Routine review</x:v>
      </x:c>
      <x:c r="AC166" s="22" t="str">
        <x:v>No abnormality-specific management</x:v>
      </x:c>
      <x:c r="AD166" s="22" t="str">
        <x:v>No electrolyte abnormality is detected by the synthetic reference range; interpret the result with the full clinical picture.</x:v>
      </x:c>
      <x:c r="AE166" s="22" t="str">
        <x:v>Synthetic reference ranges are not NICE management thresholds.</x:v>
      </x:c>
      <x:c r="AF166" s="22" t="str">
        <x:v>NICE-CG174</x:v>
      </x:c>
      <x:c r="AG166" s="22" t="str">
        <x:v>1.1.1 and 1.2.2</x:v>
      </x:c>
      <x:c r="AH166" s="22" t="str">
        <x:v>Sodium reference interval adult laboratory interpretation</x:v>
      </x:c>
      <x:c r="AI166" s="22" t="str">
        <x:v>train</x:v>
      </x:c>
      <x:c r="AJ166" s="22" t="str">
        <x:v>Yes</x:v>
      </x:c>
      <x:c r="AK166" s="22" t="str">
        <x:v>Pending</x:v>
      </x:c>
    </x:row>
    <x:row r="167">
      <x:c r="A167" t="str">
        <x:v>CASE-0289</x:v>
      </x:c>
      <x:c r="B167" s="22" t="str">
        <x:v>19-year-old male with hypokalaemia. Potassium is 3.41 mmol/L; baseline is 2.15 mmol/L. Context: General adult presentation. Symptoms: muscle cramps, weakness. IV fluids: No; CKD stage: None; heart failure: No; AKI: No; dialysis: No; eGFR: 110.7 mL/min/1.73m².</x:v>
      </x:c>
      <x:c r="C167" t="n">
        <x:v>19</x:v>
      </x:c>
      <x:c r="D167" t="str">
        <x:v>Male</x:v>
      </x:c>
      <x:c r="E167" t="str">
        <x:v>Not applicable</x:v>
      </x:c>
      <x:c r="F167" t="str">
        <x:v>Potassium</x:v>
      </x:c>
      <x:c r="G167" t="str">
        <x:v>Hypokalaemia</x:v>
      </x:c>
      <x:c r="H167" t="n">
        <x:v>3.41</x:v>
      </x:c>
      <x:c r="I167" t="str">
        <x:v>mmol/L</x:v>
      </x:c>
      <x:c r="J167" s="22" t="str">
        <x:v>General adult presentation</x:v>
      </x:c>
      <x:c r="K167" s="22" t="str">
        <x:v>No</x:v>
      </x:c>
      <x:c r="L167" s="22" t="str">
        <x:v>No</x:v>
      </x:c>
      <x:c r="M167" s="22" t="n">
        <x:v>2.15</x:v>
      </x:c>
      <x:c r="N167" s="22" t="str">
        <x:v>None</x:v>
      </x:c>
      <x:c r="O167" s="22" t="str">
        <x:v>No</x:v>
      </x:c>
      <x:c r="P167" s="22" t="str">
        <x:v>No</x:v>
      </x:c>
      <x:c r="Q167" s="22" t="str">
        <x:v>Not applicable</x:v>
      </x:c>
      <x:c r="R167" s="22" t="str">
        <x:v>Not applicable</x:v>
      </x:c>
      <x:c r="S167" s="22" t="str">
        <x:v>No</x:v>
      </x:c>
      <x:c r="T167" s="22" t="str">
        <x:v>No</x:v>
      </x:c>
      <x:c r="U167" s="22" t="str">
        <x:v>No</x:v>
      </x:c>
      <x:c r="V167" s="22" t="str">
        <x:v>muscle cramps, weakness</x:v>
      </x:c>
      <x:c r="W167" s="22" t="str">
        <x:v>No</x:v>
      </x:c>
      <x:c r="X167" s="22" t="str">
        <x:v>Uncertain</x:v>
      </x:c>
      <x:c r="Y167" s="22" t="n">
        <x:v>110.7</x:v>
      </x:c>
      <x:c r="Z167" s="22" t="str">
        <x:v>NICE-UNSUPPORTED-001</x:v>
      </x:c>
      <x:c r="AA167" s="22" t="str">
        <x:v>No definitive NICE-only management</x:v>
      </x:c>
      <x:c r="AB167" s="22" t="str">
        <x:v>Clinical review required</x:v>
      </x:c>
      <x:c r="AC167" s="22" t="str">
        <x:v>No definitive NICE-only management output</x:v>
      </x:c>
      <x:c r="AD167" s="22" t="str">
        <x:v>Do not generate treatment instructions. Display that an approved local protocol or specialist review is required.</x:v>
      </x:c>
      <x:c r="AE167" s="22" t="str">
        <x:v>This is a safety rule, not a treatment recommendation.</x:v>
      </x:c>
      <x:c r="AF167" s="22" t="str"/>
      <x:c r="AG167" s="22" t="str"/>
      <x:c r="AH167" s="22" t="str">
        <x:v>Hypokalaemia adult General adult presentation guideline systematic review clinical review</x:v>
      </x:c>
      <x:c r="AI167" s="22" t="str">
        <x:v>train</x:v>
      </x:c>
      <x:c r="AJ167" s="22" t="str">
        <x:v>Yes</x:v>
      </x:c>
      <x:c r="AK167" s="22" t="str">
        <x:v>Pending</x:v>
      </x:c>
    </x:row>
    <x:row r="168">
      <x:c r="A168" t="str">
        <x:v>CASE-0715</x:v>
      </x:c>
      <x:c r="B168" s="22" t="str">
        <x:v>88-year-old female with hypermagnesaemia. Magnesium is 2.15 mmol/L; baseline is 3.23 mmol/L. Context: General adult presentation. Symptoms: confusion. IV fluids: No; CKD stage: None; heart failure: No; AKI: No; dialysis: No; eGFR: 60.3 mL/min/1.73m².</x:v>
      </x:c>
      <x:c r="C168" t="n">
        <x:v>88</x:v>
      </x:c>
      <x:c r="D168" t="str">
        <x:v>Female</x:v>
      </x:c>
      <x:c r="E168" t="str">
        <x:v>Not applicable</x:v>
      </x:c>
      <x:c r="F168" t="str">
        <x:v>Magnesium</x:v>
      </x:c>
      <x:c r="G168" t="str">
        <x:v>Hypermagnesaemia</x:v>
      </x:c>
      <x:c r="H168" t="n">
        <x:v>2.15</x:v>
      </x:c>
      <x:c r="I168" t="str">
        <x:v>mmol/L</x:v>
      </x:c>
      <x:c r="J168" s="22" t="str">
        <x:v>General adult presentation</x:v>
      </x:c>
      <x:c r="K168" s="22" t="str">
        <x:v>No</x:v>
      </x:c>
      <x:c r="L168" s="22" t="str">
        <x:v>No</x:v>
      </x:c>
      <x:c r="M168" s="22" t="n">
        <x:v>3.23</x:v>
      </x:c>
      <x:c r="N168" s="22" t="str">
        <x:v>None</x:v>
      </x:c>
      <x:c r="O168" s="22" t="str">
        <x:v>No</x:v>
      </x:c>
      <x:c r="P168" s="22" t="str">
        <x:v>No</x:v>
      </x:c>
      <x:c r="Q168" s="22" t="str">
        <x:v>Not applicable</x:v>
      </x:c>
      <x:c r="R168" s="22" t="str">
        <x:v>Not applicable</x:v>
      </x:c>
      <x:c r="S168" s="22" t="str">
        <x:v>No</x:v>
      </x:c>
      <x:c r="T168" s="22" t="str">
        <x:v>No</x:v>
      </x:c>
      <x:c r="U168" s="22" t="str">
        <x:v>No</x:v>
      </x:c>
      <x:c r="V168" s="22" t="str">
        <x:v>confusion</x:v>
      </x:c>
      <x:c r="W168" s="22" t="str">
        <x:v>No</x:v>
      </x:c>
      <x:c r="X168" s="22" t="str">
        <x:v>Hypovolaemic</x:v>
      </x:c>
      <x:c r="Y168" s="22" t="n">
        <x:v>60.3</x:v>
      </x:c>
      <x:c r="Z168" s="22" t="str">
        <x:v>NICE-UNSUPPORTED-001</x:v>
      </x:c>
      <x:c r="AA168" s="22" t="str">
        <x:v>No definitive NICE-only management</x:v>
      </x:c>
      <x:c r="AB168" s="22" t="str">
        <x:v>Clinical review required</x:v>
      </x:c>
      <x:c r="AC168" s="22" t="str">
        <x:v>No definitive NICE-only management output</x:v>
      </x:c>
      <x:c r="AD168" s="22" t="str">
        <x:v>Do not generate treatment instructions. Display that an approved local protocol or specialist review is required.</x:v>
      </x:c>
      <x:c r="AE168" s="22" t="str">
        <x:v>This is a safety rule, not a treatment recommendation.</x:v>
      </x:c>
      <x:c r="AF168" s="22" t="str"/>
      <x:c r="AG168" s="22" t="str"/>
      <x:c r="AH168" s="22" t="str">
        <x:v>Hypermagnesaemia adult General adult presentation guideline systematic review clinical review</x:v>
      </x:c>
      <x:c r="AI168" s="22" t="str">
        <x:v>train</x:v>
      </x:c>
      <x:c r="AJ168" s="22" t="str">
        <x:v>Yes</x:v>
      </x:c>
      <x:c r="AK168" s="22" t="str">
        <x:v>Pending</x:v>
      </x:c>
    </x:row>
    <x:row r="169">
      <x:c r="A169" t="str">
        <x:v>CASE-0833</x:v>
      </x:c>
      <x:c r="B169" s="22" t="str">
        <x:v>90-year-old male with no detected sodium abnormality. Sodium is 140.7 mmol/L. General adult presentation.</x:v>
      </x:c>
      <x:c r="C169" t="n">
        <x:v>90</x:v>
      </x:c>
      <x:c r="D169" t="str">
        <x:v>Male</x:v>
      </x:c>
      <x:c r="E169" t="str">
        <x:v>Not applicable</x:v>
      </x:c>
      <x:c r="F169" t="str">
        <x:v>Sodium</x:v>
      </x:c>
      <x:c r="G169" t="str">
        <x:v>No abnormality detected</x:v>
      </x:c>
      <x:c r="H169" t="n">
        <x:v>140.7</x:v>
      </x:c>
      <x:c r="I169" t="str">
        <x:v>mmol/L</x:v>
      </x:c>
      <x:c r="J169" s="22" t="str">
        <x:v>General adult presentation</x:v>
      </x:c>
      <x:c r="K169" s="22" t="str">
        <x:v>No</x:v>
      </x:c>
      <x:c r="L169" s="22" t="str">
        <x:v>No</x:v>
      </x:c>
      <x:c r="M169" s="22" t="n">
        <x:v>140.7</x:v>
      </x:c>
      <x:c r="N169" s="22" t="str">
        <x:v>None</x:v>
      </x:c>
      <x:c r="O169" s="22" t="str">
        <x:v>No</x:v>
      </x:c>
      <x:c r="P169" s="22" t="str">
        <x:v>No</x:v>
      </x:c>
      <x:c r="Q169" s="22" t="str">
        <x:v>Not applicable</x:v>
      </x:c>
      <x:c r="R169" s="22" t="str">
        <x:v>Not applicable</x:v>
      </x:c>
      <x:c r="S169" s="22" t="str">
        <x:v>No</x:v>
      </x:c>
      <x:c r="T169" s="22" t="str">
        <x:v>No</x:v>
      </x:c>
      <x:c r="U169" s="22" t="str">
        <x:v>No</x:v>
      </x:c>
      <x:c r="V169" s="22" t="str">
        <x:v>None reported</x:v>
      </x:c>
      <x:c r="W169" s="22" t="str">
        <x:v>No</x:v>
      </x:c>
      <x:c r="X169" s="22" t="str">
        <x:v>Euvolaemic</x:v>
      </x:c>
      <x:c r="Y169" s="22" t="n">
        <x:v>85.1</x:v>
      </x:c>
      <x:c r="Z169" s="22" t="str">
        <x:v>NICE-GLOBAL-ASSESS-001</x:v>
      </x:c>
      <x:c r="AA169" s="22" t="str">
        <x:v>General NICE assessment only</x:v>
      </x:c>
      <x:c r="AB169" s="22" t="str">
        <x:v>Routine review</x:v>
      </x:c>
      <x:c r="AC169" s="22" t="str">
        <x:v>No abnormality-specific management</x:v>
      </x:c>
      <x:c r="AD169" s="22" t="str">
        <x:v>No electrolyte abnormality is detected by the synthetic reference range; interpret the result with the full clinical picture.</x:v>
      </x:c>
      <x:c r="AE169" s="22" t="str">
        <x:v>Synthetic reference ranges are not NICE management thresholds.</x:v>
      </x:c>
      <x:c r="AF169" s="22" t="str">
        <x:v>NICE-CG174</x:v>
      </x:c>
      <x:c r="AG169" s="22" t="str">
        <x:v>1.1.1 and 1.2.2</x:v>
      </x:c>
      <x:c r="AH169" s="22" t="str">
        <x:v>Sodium reference interval adult laboratory interpretation</x:v>
      </x:c>
      <x:c r="AI169" s="22" t="str">
        <x:v>train</x:v>
      </x:c>
      <x:c r="AJ169" s="22" t="str">
        <x:v>Yes</x:v>
      </x:c>
      <x:c r="AK169" s="22" t="str">
        <x:v>Pending</x:v>
      </x:c>
    </x:row>
    <x:row r="170">
      <x:c r="A170" t="str">
        <x:v>CASE-0657</x:v>
      </x:c>
      <x:c r="B170" s="22" t="str">
        <x:v>61-year-old female with hypomagnesaemia. Magnesium is 0.48 mmol/L; baseline is 0.51 mmol/L. Context: General adult presentation. Symptoms: palpitations. IV fluids: No; CKD stage: None; heart failure: No; AKI: No; dialysis: No; eGFR: 77.4 mL/min/1.73m².</x:v>
      </x:c>
      <x:c r="C170" t="n">
        <x:v>61</x:v>
      </x:c>
      <x:c r="D170" t="str">
        <x:v>Female</x:v>
      </x:c>
      <x:c r="E170" t="str">
        <x:v>Not applicable</x:v>
      </x:c>
      <x:c r="F170" t="str">
        <x:v>Magnesium</x:v>
      </x:c>
      <x:c r="G170" t="str">
        <x:v>Hypomagnesaemia</x:v>
      </x:c>
      <x:c r="H170" t="n">
        <x:v>0.48</x:v>
      </x:c>
      <x:c r="I170" t="str">
        <x:v>mmol/L</x:v>
      </x:c>
      <x:c r="J170" s="22" t="str">
        <x:v>General adult presentation</x:v>
      </x:c>
      <x:c r="K170" s="22" t="str">
        <x:v>No</x:v>
      </x:c>
      <x:c r="L170" s="22" t="str">
        <x:v>No</x:v>
      </x:c>
      <x:c r="M170" s="22" t="n">
        <x:v>0.51</x:v>
      </x:c>
      <x:c r="N170" s="22" t="str">
        <x:v>None</x:v>
      </x:c>
      <x:c r="O170" s="22" t="str">
        <x:v>No</x:v>
      </x:c>
      <x:c r="P170" s="22" t="str">
        <x:v>No</x:v>
      </x:c>
      <x:c r="Q170" s="22" t="str">
        <x:v>Not applicable</x:v>
      </x:c>
      <x:c r="R170" s="22" t="str">
        <x:v>Not applicable</x:v>
      </x:c>
      <x:c r="S170" s="22" t="str">
        <x:v>No</x:v>
      </x:c>
      <x:c r="T170" s="22" t="str">
        <x:v>No</x:v>
      </x:c>
      <x:c r="U170" s="22" t="str">
        <x:v>No</x:v>
      </x:c>
      <x:c r="V170" s="22" t="str">
        <x:v>palpitations</x:v>
      </x:c>
      <x:c r="W170" s="22" t="str">
        <x:v>No</x:v>
      </x:c>
      <x:c r="X170" s="22" t="str">
        <x:v>Hypervolaemic</x:v>
      </x:c>
      <x:c r="Y170" s="22" t="n">
        <x:v>77.4</x:v>
      </x:c>
      <x:c r="Z170" s="22" t="str">
        <x:v>NICE-UNSUPPORTED-001</x:v>
      </x:c>
      <x:c r="AA170" s="22" t="str">
        <x:v>No definitive NICE-only management</x:v>
      </x:c>
      <x:c r="AB170" s="22" t="str">
        <x:v>Clinical review required</x:v>
      </x:c>
      <x:c r="AC170" s="22" t="str">
        <x:v>No definitive NICE-only management output</x:v>
      </x:c>
      <x:c r="AD170" s="22" t="str">
        <x:v>Do not generate treatment instructions. Display that an approved local protocol or specialist review is required.</x:v>
      </x:c>
      <x:c r="AE170" s="22" t="str">
        <x:v>This is a safety rule, not a treatment recommendation.</x:v>
      </x:c>
      <x:c r="AF170" s="22" t="str"/>
      <x:c r="AG170" s="22" t="str"/>
      <x:c r="AH170" s="22" t="str">
        <x:v>Hypomagnesaemia adult General adult presentation guideline systematic review clinical review</x:v>
      </x:c>
      <x:c r="AI170" s="22" t="str">
        <x:v>train</x:v>
      </x:c>
      <x:c r="AJ170" s="22" t="str">
        <x:v>Yes</x:v>
      </x:c>
      <x:c r="AK170" s="22" t="str">
        <x:v>Pending</x:v>
      </x:c>
    </x:row>
    <x:row r="171">
      <x:c r="A171" t="str">
        <x:v>CASE-0628</x:v>
      </x:c>
      <x:c r="B171" s="22" t="str">
        <x:v>72-year-old male with hypomagnesaemia. Magnesium is 0.59 mmol/L; baseline is 0.5 mmol/L. Context: General adult presentation. Symptoms: None reported. IV fluids: No; CKD stage: None; heart failure: No; AKI: No; dialysis: No; eGFR: 46.1 mL/min/1.73m².</x:v>
      </x:c>
      <x:c r="C171" t="n">
        <x:v>72</x:v>
      </x:c>
      <x:c r="D171" t="str">
        <x:v>Male</x:v>
      </x:c>
      <x:c r="E171" t="str">
        <x:v>Not applicable</x:v>
      </x:c>
      <x:c r="F171" t="str">
        <x:v>Magnesium</x:v>
      </x:c>
      <x:c r="G171" t="str">
        <x:v>Hypomagnesaemia</x:v>
      </x:c>
      <x:c r="H171" t="n">
        <x:v>0.59</x:v>
      </x:c>
      <x:c r="I171" t="str">
        <x:v>mmol/L</x:v>
      </x:c>
      <x:c r="J171" s="22" t="str">
        <x:v>General adult presentation</x:v>
      </x:c>
      <x:c r="K171" s="22" t="str">
        <x:v>No</x:v>
      </x:c>
      <x:c r="L171" s="22" t="str">
        <x:v>No</x:v>
      </x:c>
      <x:c r="M171" s="22" t="n">
        <x:v>0.5</x:v>
      </x:c>
      <x:c r="N171" s="22" t="str">
        <x:v>None</x:v>
      </x:c>
      <x:c r="O171" s="22" t="str">
        <x:v>No</x:v>
      </x:c>
      <x:c r="P171" s="22" t="str">
        <x:v>No</x:v>
      </x:c>
      <x:c r="Q171" s="22" t="str">
        <x:v>Not applicable</x:v>
      </x:c>
      <x:c r="R171" s="22" t="str">
        <x:v>Not applicable</x:v>
      </x:c>
      <x:c r="S171" s="22" t="str">
        <x:v>No</x:v>
      </x:c>
      <x:c r="T171" s="22" t="str">
        <x:v>No</x:v>
      </x:c>
      <x:c r="U171" s="22" t="str">
        <x:v>No</x:v>
      </x:c>
      <x:c r="V171" s="22" t="str">
        <x:v>None reported</x:v>
      </x:c>
      <x:c r="W171" s="22" t="str">
        <x:v>No</x:v>
      </x:c>
      <x:c r="X171" s="22" t="str">
        <x:v>Hypervolaemic</x:v>
      </x:c>
      <x:c r="Y171" s="22" t="n">
        <x:v>46.1</x:v>
      </x:c>
      <x:c r="Z171" s="22" t="str">
        <x:v>NICE-UNSUPPORTED-001</x:v>
      </x:c>
      <x:c r="AA171" s="22" t="str">
        <x:v>No definitive NICE-only management</x:v>
      </x:c>
      <x:c r="AB171" s="22" t="str">
        <x:v>Clinical review required</x:v>
      </x:c>
      <x:c r="AC171" s="22" t="str">
        <x:v>No definitive NICE-only management output</x:v>
      </x:c>
      <x:c r="AD171" s="22" t="str">
        <x:v>Do not generate treatment instructions. Display that an approved local protocol or specialist review is required.</x:v>
      </x:c>
      <x:c r="AE171" s="22" t="str">
        <x:v>This is a safety rule, not a treatment recommendation.</x:v>
      </x:c>
      <x:c r="AF171" s="22" t="str"/>
      <x:c r="AG171" s="22" t="str"/>
      <x:c r="AH171" s="22" t="str">
        <x:v>Hypomagnesaemia adult General adult presentation guideline systematic review clinical review</x:v>
      </x:c>
      <x:c r="AI171" s="22" t="str">
        <x:v>train</x:v>
      </x:c>
      <x:c r="AJ171" s="22" t="str">
        <x:v>Yes</x:v>
      </x:c>
      <x:c r="AK171" s="22" t="str">
        <x:v>Pending</x:v>
      </x:c>
    </x:row>
    <x:row r="172">
      <x:c r="A172" t="str">
        <x:v>CASE-0509</x:v>
      </x:c>
      <x:c r="B172" s="22" t="str">
        <x:v>62-year-old male with hypercalcaemia. Adjusted calcium is 3.22 mmol/L; baseline is 2.67 mmol/L. Context: Confirmed primary hyperparathyroidism. Symptoms: confusion, polyuria. IV fluids: No; CKD stage: None; heart failure: No; AKI: No; dialysis: No; eGFR: 63.8 mL/min/1.73m².</x:v>
      </x:c>
      <x:c r="C172" t="n">
        <x:v>62</x:v>
      </x:c>
      <x:c r="D172" t="str">
        <x:v>Male</x:v>
      </x:c>
      <x:c r="E172" t="str">
        <x:v>Not applicable</x:v>
      </x:c>
      <x:c r="F172" t="str">
        <x:v>Adjusted calcium</x:v>
      </x:c>
      <x:c r="G172" t="str">
        <x:v>Hypercalcaemia</x:v>
      </x:c>
      <x:c r="H172" t="n">
        <x:v>3.22</x:v>
      </x:c>
      <x:c r="I172" t="str">
        <x:v>mmol/L</x:v>
      </x:c>
      <x:c r="J172" s="22" t="str">
        <x:v>Confirmed primary hyperparathyroidism</x:v>
      </x:c>
      <x:c r="K172" s="22" t="str">
        <x:v>No</x:v>
      </x:c>
      <x:c r="L172" s="22" t="str">
        <x:v>No</x:v>
      </x:c>
      <x:c r="M172" s="22" t="n">
        <x:v>2.67</x:v>
      </x:c>
      <x:c r="N172" s="22" t="str">
        <x:v>None</x:v>
      </x:c>
      <x:c r="O172" s="22" t="str">
        <x:v>No</x:v>
      </x:c>
      <x:c r="P172" s="22" t="str">
        <x:v>No</x:v>
      </x:c>
      <x:c r="Q172" s="22" t="str">
        <x:v>Not applicable</x:v>
      </x:c>
      <x:c r="R172" s="22" t="str">
        <x:v>Not applicable</x:v>
      </x:c>
      <x:c r="S172" s="22" t="str">
        <x:v>No</x:v>
      </x:c>
      <x:c r="T172" s="22" t="str">
        <x:v>Yes</x:v>
      </x:c>
      <x:c r="U172" s="22" t="str">
        <x:v>No</x:v>
      </x:c>
      <x:c r="V172" s="22" t="str">
        <x:v>confusion, polyuria</x:v>
      </x:c>
      <x:c r="W172" s="22" t="str">
        <x:v>No</x:v>
      </x:c>
      <x:c r="X172" s="22" t="str">
        <x:v>Hypervolaemic</x:v>
      </x:c>
      <x:c r="Y172" s="22" t="n">
        <x:v>63.8</x:v>
      </x:c>
      <x:c r="Z172" s="22" t="str">
        <x:v>NICE-CA-PHPT-REFER-001</x:v>
      </x:c>
      <x:c r="AA172" s="22" t="str">
        <x:v>Specific context-based NICE guidance</x:v>
      </x:c>
      <x:c r="AB172" s="22" t="str">
        <x:v>Specialist surgical referral</x:v>
      </x:c>
      <x:c r="AC172" s="22" t="str">
        <x:v>Specific NICE referral guidance</x:v>
      </x:c>
      <x:c r="AD172" s="22" t="str">
        <x:v>Refer to a surgeon with expertise in parathyroid surgery when one or more stated NICE criteria are present.</x:v>
      </x:c>
      <x:c r="AE172" s="22" t="str">
        <x:v>Applies only to confirmed primary hyperparathyroidism.</x:v>
      </x:c>
      <x:c r="AF172" s="22" t="str">
        <x:v>NICE-NG132</x:v>
      </x:c>
      <x:c r="AG172" s="22" t="str">
        <x:v>1.3.1 and 1.3.2</x:v>
      </x:c>
      <x:c r="AH172" s="22" t="str">
        <x:v>Hypercalcaemia adult Confirmed primary hyperparathyroidism guideline systematic review clinical review</x:v>
      </x:c>
      <x:c r="AI172" s="22" t="str">
        <x:v>train</x:v>
      </x:c>
      <x:c r="AJ172" s="22" t="str">
        <x:v>Yes</x:v>
      </x:c>
      <x:c r="AK172" s="22" t="str">
        <x:v>Pending</x:v>
      </x:c>
    </x:row>
    <x:row r="173">
      <x:c r="A173" t="str">
        <x:v>CASE-0490</x:v>
      </x:c>
      <x:c r="B173" s="22" t="str">
        <x:v>20-year-old female with hypocalcaemia. Adjusted calcium is 1.7 mmol/L; baseline is 1.96 mmol/L. Context: General adult presentation. Symptoms: seizure, muscle cramps. IV fluids: No; CKD stage: None; heart failure: No; AKI: No; dialysis: No; eGFR: 12.5 mL/min/1.73m².</x:v>
      </x:c>
      <x:c r="C173" t="n">
        <x:v>20</x:v>
      </x:c>
      <x:c r="D173" t="str">
        <x:v>Female</x:v>
      </x:c>
      <x:c r="E173" t="str">
        <x:v>Not pregnant</x:v>
      </x:c>
      <x:c r="F173" t="str">
        <x:v>Adjusted calcium</x:v>
      </x:c>
      <x:c r="G173" t="str">
        <x:v>Hypocalcaemia</x:v>
      </x:c>
      <x:c r="H173" t="n">
        <x:v>1.7</x:v>
      </x:c>
      <x:c r="I173" t="str">
        <x:v>mmol/L</x:v>
      </x:c>
      <x:c r="J173" s="22" t="str">
        <x:v>General adult presentation</x:v>
      </x:c>
      <x:c r="K173" s="22" t="str">
        <x:v>No</x:v>
      </x:c>
      <x:c r="L173" s="22" t="str">
        <x:v>No</x:v>
      </x:c>
      <x:c r="M173" s="22" t="n">
        <x:v>1.96</x:v>
      </x:c>
      <x:c r="N173" s="22" t="str">
        <x:v>None</x:v>
      </x:c>
      <x:c r="O173" s="22" t="str">
        <x:v>No</x:v>
      </x:c>
      <x:c r="P173" s="22" t="str">
        <x:v>No</x:v>
      </x:c>
      <x:c r="Q173" s="22" t="str">
        <x:v>Not applicable</x:v>
      </x:c>
      <x:c r="R173" s="22" t="str">
        <x:v>Not applicable</x:v>
      </x:c>
      <x:c r="S173" s="22" t="str">
        <x:v>No</x:v>
      </x:c>
      <x:c r="T173" s="22" t="str">
        <x:v>No</x:v>
      </x:c>
      <x:c r="U173" s="22" t="str">
        <x:v>No</x:v>
      </x:c>
      <x:c r="V173" s="22" t="str">
        <x:v>seizure, muscle cramps</x:v>
      </x:c>
      <x:c r="W173" s="22" t="str">
        <x:v>No</x:v>
      </x:c>
      <x:c r="X173" s="22" t="str">
        <x:v>Hypovolaemic</x:v>
      </x:c>
      <x:c r="Y173" s="22" t="n">
        <x:v>12.5</x:v>
      </x:c>
      <x:c r="Z173" s="22" t="str">
        <x:v>NICE-UNSUPPORTED-001</x:v>
      </x:c>
      <x:c r="AA173" s="22" t="str">
        <x:v>No definitive NICE-only management</x:v>
      </x:c>
      <x:c r="AB173" s="22" t="str">
        <x:v>Clinical review required</x:v>
      </x:c>
      <x:c r="AC173" s="22" t="str">
        <x:v>No definitive NICE-only management output</x:v>
      </x:c>
      <x:c r="AD173" s="22" t="str">
        <x:v>Do not generate treatment instructions. Display that an approved local protocol or specialist review is required.</x:v>
      </x:c>
      <x:c r="AE173" s="22" t="str">
        <x:v>This is a safety rule, not a treatment recommendation.</x:v>
      </x:c>
      <x:c r="AF173" s="22" t="str"/>
      <x:c r="AG173" s="22" t="str"/>
      <x:c r="AH173" s="22" t="str">
        <x:v>Hypocalcaemia adult General adult presentation guideline systematic review clinical review</x:v>
      </x:c>
      <x:c r="AI173" s="22" t="str">
        <x:v>train</x:v>
      </x:c>
      <x:c r="AJ173" s="22" t="str">
        <x:v>Yes</x:v>
      </x:c>
      <x:c r="AK173" s="22" t="str">
        <x:v>Pending</x:v>
      </x:c>
    </x:row>
    <x:row r="174">
      <x:c r="A174" t="str">
        <x:v>CASE-0849</x:v>
      </x:c>
      <x:c r="B174" s="22" t="str">
        <x:v>84-year-old male with no detected sodium abnormality. Sodium is 135.4 mmol/L. General adult presentation.</x:v>
      </x:c>
      <x:c r="C174" t="n">
        <x:v>84</x:v>
      </x:c>
      <x:c r="D174" t="str">
        <x:v>Male</x:v>
      </x:c>
      <x:c r="E174" t="str">
        <x:v>Not applicable</x:v>
      </x:c>
      <x:c r="F174" t="str">
        <x:v>Sodium</x:v>
      </x:c>
      <x:c r="G174" t="str">
        <x:v>No abnormality detected</x:v>
      </x:c>
      <x:c r="H174" t="n">
        <x:v>135.4</x:v>
      </x:c>
      <x:c r="I174" t="str">
        <x:v>mmol/L</x:v>
      </x:c>
      <x:c r="J174" s="22" t="str">
        <x:v>General adult presentation</x:v>
      </x:c>
      <x:c r="K174" s="22" t="str">
        <x:v>No</x:v>
      </x:c>
      <x:c r="L174" s="22" t="str">
        <x:v>No</x:v>
      </x:c>
      <x:c r="M174" s="22" t="n">
        <x:v>135.4</x:v>
      </x:c>
      <x:c r="N174" s="22" t="str">
        <x:v>None</x:v>
      </x:c>
      <x:c r="O174" s="22" t="str">
        <x:v>No</x:v>
      </x:c>
      <x:c r="P174" s="22" t="str">
        <x:v>No</x:v>
      </x:c>
      <x:c r="Q174" s="22" t="str">
        <x:v>Not applicable</x:v>
      </x:c>
      <x:c r="R174" s="22" t="str">
        <x:v>Not applicable</x:v>
      </x:c>
      <x:c r="S174" s="22" t="str">
        <x:v>No</x:v>
      </x:c>
      <x:c r="T174" s="22" t="str">
        <x:v>No</x:v>
      </x:c>
      <x:c r="U174" s="22" t="str">
        <x:v>No</x:v>
      </x:c>
      <x:c r="V174" s="22" t="str">
        <x:v>None reported</x:v>
      </x:c>
      <x:c r="W174" s="22" t="str">
        <x:v>No</x:v>
      </x:c>
      <x:c r="X174" s="22" t="str">
        <x:v>Euvolaemic</x:v>
      </x:c>
      <x:c r="Y174" s="22" t="n">
        <x:v>72.6</x:v>
      </x:c>
      <x:c r="Z174" s="22" t="str">
        <x:v>NICE-GLOBAL-ASSESS-001</x:v>
      </x:c>
      <x:c r="AA174" s="22" t="str">
        <x:v>General NICE assessment only</x:v>
      </x:c>
      <x:c r="AB174" s="22" t="str">
        <x:v>Routine review</x:v>
      </x:c>
      <x:c r="AC174" s="22" t="str">
        <x:v>No abnormality-specific management</x:v>
      </x:c>
      <x:c r="AD174" s="22" t="str">
        <x:v>No electrolyte abnormality is detected by the synthetic reference range; interpret the result with the full clinical picture.</x:v>
      </x:c>
      <x:c r="AE174" s="22" t="str">
        <x:v>Synthetic reference ranges are not NICE management thresholds.</x:v>
      </x:c>
      <x:c r="AF174" s="22" t="str">
        <x:v>NICE-CG174</x:v>
      </x:c>
      <x:c r="AG174" s="22" t="str">
        <x:v>1.1.1 and 1.2.2</x:v>
      </x:c>
      <x:c r="AH174" s="22" t="str">
        <x:v>Sodium reference interval adult laboratory interpretation</x:v>
      </x:c>
      <x:c r="AI174" s="22" t="str">
        <x:v>train</x:v>
      </x:c>
      <x:c r="AJ174" s="22" t="str">
        <x:v>Yes</x:v>
      </x:c>
      <x:c r="AK174" s="22" t="str">
        <x:v>Pending</x:v>
      </x:c>
    </x:row>
    <x:row r="175">
      <x:c r="A175" t="str">
        <x:v>CASE-0727</x:v>
      </x:c>
      <x:c r="B175" s="22" t="str">
        <x:v>47-year-old male with hypermagnesaemia. Magnesium is 2.47 mmol/L; baseline is 4.47 mmol/L. Context: General adult presentation. Symptoms: None reported. IV fluids: No; CKD stage: None; heart failure: No; AKI: No; dialysis: No; eGFR: 48.3 mL/min/1.73m².</x:v>
      </x:c>
      <x:c r="C175" t="n">
        <x:v>47</x:v>
      </x:c>
      <x:c r="D175" t="str">
        <x:v>Male</x:v>
      </x:c>
      <x:c r="E175" t="str">
        <x:v>Not applicable</x:v>
      </x:c>
      <x:c r="F175" t="str">
        <x:v>Magnesium</x:v>
      </x:c>
      <x:c r="G175" t="str">
        <x:v>Hypermagnesaemia</x:v>
      </x:c>
      <x:c r="H175" t="n">
        <x:v>2.47</x:v>
      </x:c>
      <x:c r="I175" t="str">
        <x:v>mmol/L</x:v>
      </x:c>
      <x:c r="J175" s="22" t="str">
        <x:v>General adult presentation</x:v>
      </x:c>
      <x:c r="K175" s="22" t="str">
        <x:v>No</x:v>
      </x:c>
      <x:c r="L175" s="22" t="str">
        <x:v>No</x:v>
      </x:c>
      <x:c r="M175" s="22" t="n">
        <x:v>4.47</x:v>
      </x:c>
      <x:c r="N175" s="22" t="str">
        <x:v>None</x:v>
      </x:c>
      <x:c r="O175" s="22" t="str">
        <x:v>No</x:v>
      </x:c>
      <x:c r="P175" s="22" t="str">
        <x:v>No</x:v>
      </x:c>
      <x:c r="Q175" s="22" t="str">
        <x:v>Not applicable</x:v>
      </x:c>
      <x:c r="R175" s="22" t="str">
        <x:v>Not applicable</x:v>
      </x:c>
      <x:c r="S175" s="22" t="str">
        <x:v>No</x:v>
      </x:c>
      <x:c r="T175" s="22" t="str">
        <x:v>No</x:v>
      </x:c>
      <x:c r="U175" s="22" t="str">
        <x:v>No</x:v>
      </x:c>
      <x:c r="V175" s="22" t="str">
        <x:v>None reported</x:v>
      </x:c>
      <x:c r="W175" s="22" t="str">
        <x:v>No</x:v>
      </x:c>
      <x:c r="X175" s="22" t="str">
        <x:v>Uncertain</x:v>
      </x:c>
      <x:c r="Y175" s="22" t="n">
        <x:v>48.3</x:v>
      </x:c>
      <x:c r="Z175" s="22" t="str">
        <x:v>NICE-UNSUPPORTED-001</x:v>
      </x:c>
      <x:c r="AA175" s="22" t="str">
        <x:v>No definitive NICE-only management</x:v>
      </x:c>
      <x:c r="AB175" s="22" t="str">
        <x:v>Clinical review required</x:v>
      </x:c>
      <x:c r="AC175" s="22" t="str">
        <x:v>No definitive NICE-only management output</x:v>
      </x:c>
      <x:c r="AD175" s="22" t="str">
        <x:v>Do not generate treatment instructions. Display that an approved local protocol or specialist review is required.</x:v>
      </x:c>
      <x:c r="AE175" s="22" t="str">
        <x:v>This is a safety rule, not a treatment recommendation.</x:v>
      </x:c>
      <x:c r="AF175" s="22" t="str"/>
      <x:c r="AG175" s="22" t="str"/>
      <x:c r="AH175" s="22" t="str">
        <x:v>Hypermagnesaemia adult General adult presentation guideline systematic review clinical review</x:v>
      </x:c>
      <x:c r="AI175" s="22" t="str">
        <x:v>validation</x:v>
      </x:c>
      <x:c r="AJ175" s="22" t="str">
        <x:v>Yes</x:v>
      </x:c>
      <x:c r="AK175" s="22" t="str">
        <x:v>Pending</x:v>
      </x:c>
    </x:row>
    <x:row r="176">
      <x:c r="A176" t="str">
        <x:v>CASE-0669</x:v>
      </x:c>
      <x:c r="B176" s="22" t="str">
        <x:v>28-year-old female with hypomagnesaemia. Magnesium is 0.56 mmol/L; baseline is 0.37 mmol/L. Context: General adult presentation. Symptoms: cramps. IV fluids: No; CKD stage: None; heart failure: No; AKI: No; dialysis: No; eGFR: 37.6 mL/min/1.73m².</x:v>
      </x:c>
      <x:c r="C176" t="n">
        <x:v>28</x:v>
      </x:c>
      <x:c r="D176" t="str">
        <x:v>Female</x:v>
      </x:c>
      <x:c r="E176" t="str">
        <x:v>Unknown</x:v>
      </x:c>
      <x:c r="F176" t="str">
        <x:v>Magnesium</x:v>
      </x:c>
      <x:c r="G176" t="str">
        <x:v>Hypomagnesaemia</x:v>
      </x:c>
      <x:c r="H176" t="n">
        <x:v>0.56</x:v>
      </x:c>
      <x:c r="I176" t="str">
        <x:v>mmol/L</x:v>
      </x:c>
      <x:c r="J176" s="22" t="str">
        <x:v>General adult presentation</x:v>
      </x:c>
      <x:c r="K176" s="22" t="str">
        <x:v>No</x:v>
      </x:c>
      <x:c r="L176" s="22" t="str">
        <x:v>No</x:v>
      </x:c>
      <x:c r="M176" s="22" t="n">
        <x:v>0.37</x:v>
      </x:c>
      <x:c r="N176" s="22" t="str">
        <x:v>None</x:v>
      </x:c>
      <x:c r="O176" s="22" t="str">
        <x:v>No</x:v>
      </x:c>
      <x:c r="P176" s="22" t="str">
        <x:v>No</x:v>
      </x:c>
      <x:c r="Q176" s="22" t="str">
        <x:v>Not applicable</x:v>
      </x:c>
      <x:c r="R176" s="22" t="str">
        <x:v>Not applicable</x:v>
      </x:c>
      <x:c r="S176" s="22" t="str">
        <x:v>No</x:v>
      </x:c>
      <x:c r="T176" s="22" t="str">
        <x:v>No</x:v>
      </x:c>
      <x:c r="U176" s="22" t="str">
        <x:v>No</x:v>
      </x:c>
      <x:c r="V176" s="22" t="str">
        <x:v>cramps</x:v>
      </x:c>
      <x:c r="W176" s="22" t="str">
        <x:v>No</x:v>
      </x:c>
      <x:c r="X176" s="22" t="str">
        <x:v>Hypovolaemic</x:v>
      </x:c>
      <x:c r="Y176" s="22" t="n">
        <x:v>37.6</x:v>
      </x:c>
      <x:c r="Z176" s="22" t="str">
        <x:v>NICE-UNSUPPORTED-001</x:v>
      </x:c>
      <x:c r="AA176" s="22" t="str">
        <x:v>No definitive NICE-only management</x:v>
      </x:c>
      <x:c r="AB176" s="22" t="str">
        <x:v>Clinical review required</x:v>
      </x:c>
      <x:c r="AC176" s="22" t="str">
        <x:v>No definitive NICE-only management output</x:v>
      </x:c>
      <x:c r="AD176" s="22" t="str">
        <x:v>Do not generate treatment instructions. Display that an approved local protocol or specialist review is required.</x:v>
      </x:c>
      <x:c r="AE176" s="22" t="str">
        <x:v>This is a safety rule, not a treatment recommendation.</x:v>
      </x:c>
      <x:c r="AF176" s="22" t="str"/>
      <x:c r="AG176" s="22" t="str"/>
      <x:c r="AH176" s="22" t="str">
        <x:v>Hypomagnesaemia adult General adult presentation guideline systematic review clinical review</x:v>
      </x:c>
      <x:c r="AI176" s="22" t="str">
        <x:v>validation</x:v>
      </x:c>
      <x:c r="AJ176" s="22" t="str">
        <x:v>Yes</x:v>
      </x:c>
      <x:c r="AK176" s="22" t="str">
        <x:v>Pending</x:v>
      </x:c>
    </x:row>
    <x:row r="177">
      <x:c r="A177" t="str">
        <x:v>CASE-0261</x:v>
      </x:c>
      <x:c r="B177" s="22" t="str">
        <x:v>28-year-old female with hypokalaemia. Potassium is 2.17 mmol/L; baseline is 3.81 mmol/L. Context: IV-fluid-related. Symptoms: None reported. IV fluids: Yes; CKD stage: None; heart failure: No; AKI: No; dialysis: No; eGFR: 68.7 mL/min/1.73m².</x:v>
      </x:c>
      <x:c r="C177" t="n">
        <x:v>28</x:v>
      </x:c>
      <x:c r="D177" t="str">
        <x:v>Female</x:v>
      </x:c>
      <x:c r="E177" t="str">
        <x:v>Not pregnant</x:v>
      </x:c>
      <x:c r="F177" t="str">
        <x:v>Potassium</x:v>
      </x:c>
      <x:c r="G177" t="str">
        <x:v>Hypokalaemia</x:v>
      </x:c>
      <x:c r="H177" t="n">
        <x:v>2.17</x:v>
      </x:c>
      <x:c r="I177" t="str">
        <x:v>mmol/L</x:v>
      </x:c>
      <x:c r="J177" s="22" t="str">
        <x:v>IV-fluid-related</x:v>
      </x:c>
      <x:c r="K177" s="22" t="str">
        <x:v>Yes</x:v>
      </x:c>
      <x:c r="L177" s="22" t="str">
        <x:v>No</x:v>
      </x:c>
      <x:c r="M177" s="22" t="n">
        <x:v>3.81</x:v>
      </x:c>
      <x:c r="N177" s="22" t="str">
        <x:v>None</x:v>
      </x:c>
      <x:c r="O177" s="22" t="str">
        <x:v>No</x:v>
      </x:c>
      <x:c r="P177" s="22" t="str">
        <x:v>No</x:v>
      </x:c>
      <x:c r="Q177" s="22" t="str">
        <x:v>Not applicable</x:v>
      </x:c>
      <x:c r="R177" s="22" t="str">
        <x:v>Not applicable</x:v>
      </x:c>
      <x:c r="S177" s="22" t="str">
        <x:v>No</x:v>
      </x:c>
      <x:c r="T177" s="22" t="str">
        <x:v>No</x:v>
      </x:c>
      <x:c r="U177" s="22" t="str">
        <x:v>No</x:v>
      </x:c>
      <x:c r="V177" s="22" t="str">
        <x:v>None reported</x:v>
      </x:c>
      <x:c r="W177" s="22" t="str">
        <x:v>No</x:v>
      </x:c>
      <x:c r="X177" s="22" t="str">
        <x:v>Uncertain</x:v>
      </x:c>
      <x:c r="Y177" s="22" t="n">
        <x:v>68.7</x:v>
      </x:c>
      <x:c r="Z177" s="22" t="str">
        <x:v>NICE-K-HYPO-IV-001</x:v>
      </x:c>
      <x:c r="AA177" s="22" t="str">
        <x:v>NICE detection / reassessment / escalation</x:v>
      </x:c>
      <x:c r="AB177" s="22" t="str">
        <x:v>Urgent review</x:v>
      </x:c>
      <x:c r="AC177" s="22" t="str">
        <x:v>NICE detection and IV-plan reassessment</x:v>
      </x:c>
      <x:c r="AD177" s="22" t="str">
        <x:v>Treat as possible IV-fluid mismanagement: reassess the IV-fluid and electrolyte prescription and increase monitoring as clinically required.</x:v>
      </x:c>
      <x:c r="AE177" s="22" t="str">
        <x:v>No replacement dose is generated.</x:v>
      </x:c>
      <x:c r="AF177" s="22" t="str">
        <x:v>NICE-CG174</x:v>
      </x:c>
      <x:c r="AG177" s="22" t="str">
        <x:v>1.2.4, 1.4.1, 1.4.4, 1.5.1, Table 1</x:v>
      </x:c>
      <x:c r="AH177" s="22" t="str">
        <x:v>Hypokalaemia adult IV-fluid-related guideline systematic review clinical review</x:v>
      </x:c>
      <x:c r="AI177" s="22" t="str">
        <x:v>validation</x:v>
      </x:c>
      <x:c r="AJ177" s="22" t="str">
        <x:v>Yes</x:v>
      </x:c>
      <x:c r="AK177" s="22" t="str">
        <x:v>Pending</x:v>
      </x:c>
    </x:row>
    <x:row r="178">
      <x:c r="A178" t="str">
        <x:v>CASE-0795</x:v>
      </x:c>
      <x:c r="B178" s="22" t="str">
        <x:v>20-year-old female with hypermagnesaemia. Magnesium is 4.98 mmol/L; baseline is 2.3 mmol/L. Context: General adult presentation. Symptoms: nausea. IV fluids: No; CKD stage: None; heart failure: No; AKI: No; dialysis: No; eGFR: 92.8 mL/min/1.73m².</x:v>
      </x:c>
      <x:c r="C178" t="n">
        <x:v>20</x:v>
      </x:c>
      <x:c r="D178" t="str">
        <x:v>Female</x:v>
      </x:c>
      <x:c r="E178" t="str">
        <x:v>Not pregnant</x:v>
      </x:c>
      <x:c r="F178" t="str">
        <x:v>Magnesium</x:v>
      </x:c>
      <x:c r="G178" t="str">
        <x:v>Hypermagnesaemia</x:v>
      </x:c>
      <x:c r="H178" t="n">
        <x:v>4.98</x:v>
      </x:c>
      <x:c r="I178" t="str">
        <x:v>mmol/L</x:v>
      </x:c>
      <x:c r="J178" s="22" t="str">
        <x:v>General adult presentation</x:v>
      </x:c>
      <x:c r="K178" s="22" t="str">
        <x:v>No</x:v>
      </x:c>
      <x:c r="L178" s="22" t="str">
        <x:v>No</x:v>
      </x:c>
      <x:c r="M178" s="22" t="n">
        <x:v>2.3</x:v>
      </x:c>
      <x:c r="N178" s="22" t="str">
        <x:v>None</x:v>
      </x:c>
      <x:c r="O178" s="22" t="str">
        <x:v>No</x:v>
      </x:c>
      <x:c r="P178" s="22" t="str">
        <x:v>No</x:v>
      </x:c>
      <x:c r="Q178" s="22" t="str">
        <x:v>Not applicable</x:v>
      </x:c>
      <x:c r="R178" s="22" t="str">
        <x:v>Not applicable</x:v>
      </x:c>
      <x:c r="S178" s="22" t="str">
        <x:v>No</x:v>
      </x:c>
      <x:c r="T178" s="22" t="str">
        <x:v>No</x:v>
      </x:c>
      <x:c r="U178" s="22" t="str">
        <x:v>No</x:v>
      </x:c>
      <x:c r="V178" s="22" t="str">
        <x:v>nausea</x:v>
      </x:c>
      <x:c r="W178" s="22" t="str">
        <x:v>No</x:v>
      </x:c>
      <x:c r="X178" s="22" t="str">
        <x:v>Hypovolaemic</x:v>
      </x:c>
      <x:c r="Y178" s="22" t="n">
        <x:v>92.8</x:v>
      </x:c>
      <x:c r="Z178" s="22" t="str">
        <x:v>NICE-UNSUPPORTED-001</x:v>
      </x:c>
      <x:c r="AA178" s="22" t="str">
        <x:v>No definitive NICE-only management</x:v>
      </x:c>
      <x:c r="AB178" s="22" t="str">
        <x:v>Clinical review required</x:v>
      </x:c>
      <x:c r="AC178" s="22" t="str">
        <x:v>No definitive NICE-only management output</x:v>
      </x:c>
      <x:c r="AD178" s="22" t="str">
        <x:v>Do not generate treatment instructions. Display that an approved local protocol or specialist review is required.</x:v>
      </x:c>
      <x:c r="AE178" s="22" t="str">
        <x:v>This is a safety rule, not a treatment recommendation.</x:v>
      </x:c>
      <x:c r="AF178" s="22" t="str"/>
      <x:c r="AG178" s="22" t="str"/>
      <x:c r="AH178" s="22" t="str">
        <x:v>Hypermagnesaemia adult General adult presentation guideline systematic review clinical review</x:v>
      </x:c>
      <x:c r="AI178" s="22" t="str">
        <x:v>test</x:v>
      </x:c>
      <x:c r="AJ178" s="22" t="str">
        <x:v>Yes</x:v>
      </x:c>
      <x:c r="AK178" s="22" t="str">
        <x:v>Pending</x:v>
      </x:c>
    </x:row>
    <x:row r="179">
      <x:c r="A179" t="str">
        <x:v>CASE-0382</x:v>
      </x:c>
      <x:c r="B179" s="22" t="str">
        <x:v>32-year-old female with hyperkalaemia. Potassium is 4.78 mmol/L; baseline is 7.43 mmol/L. Context: CKD before RAAS antagonist. Symptoms: paraesthesia, palpitations. IV fluids: No; CKD stage: 4; heart failure: No; AKI: No; dialysis: No; eGFR: 14.6 mL/min/1.73m².</x:v>
      </x:c>
      <x:c r="C179" t="n">
        <x:v>32</x:v>
      </x:c>
      <x:c r="D179" t="str">
        <x:v>Female</x:v>
      </x:c>
      <x:c r="E179" t="str">
        <x:v>Not pregnant</x:v>
      </x:c>
      <x:c r="F179" t="str">
        <x:v>Potassium</x:v>
      </x:c>
      <x:c r="G179" t="str">
        <x:v>Hyperkalaemia</x:v>
      </x:c>
      <x:c r="H179" t="n">
        <x:v>4.78</x:v>
      </x:c>
      <x:c r="I179" t="str">
        <x:v>mmol/L</x:v>
      </x:c>
      <x:c r="J179" s="22" t="str">
        <x:v>CKD before RAAS antagonist</x:v>
      </x:c>
      <x:c r="K179" s="22" t="str">
        <x:v>No</x:v>
      </x:c>
      <x:c r="L179" s="22" t="str">
        <x:v>No</x:v>
      </x:c>
      <x:c r="M179" s="22" t="n">
        <x:v>7.43</x:v>
      </x:c>
      <x:c r="N179" s="22" t="str">
        <x:v>4</x:v>
      </x:c>
      <x:c r="O179" s="22" t="str">
        <x:v>No</x:v>
      </x:c>
      <x:c r="P179" s="22" t="str">
        <x:v>No</x:v>
      </x:c>
      <x:c r="Q179" s="22" t="str">
        <x:v>Planned</x:v>
      </x:c>
      <x:c r="R179" s="22" t="str">
        <x:v>Not applicable</x:v>
      </x:c>
      <x:c r="S179" s="22" t="str">
        <x:v>No</x:v>
      </x:c>
      <x:c r="T179" s="22" t="str">
        <x:v>No</x:v>
      </x:c>
      <x:c r="U179" s="22" t="str">
        <x:v>No</x:v>
      </x:c>
      <x:c r="V179" s="22" t="str">
        <x:v>paraesthesia, palpitations</x:v>
      </x:c>
      <x:c r="W179" s="22" t="str">
        <x:v>No</x:v>
      </x:c>
      <x:c r="X179" s="22" t="str">
        <x:v>Euvolaemic</x:v>
      </x:c>
      <x:c r="Y179" s="22" t="n">
        <x:v>14.6</x:v>
      </x:c>
      <x:c r="Z179" s="22" t="str">
        <x:v>NICE-UNSUPPORTED-001</x:v>
      </x:c>
      <x:c r="AA179" s="22" t="str">
        <x:v>No definitive NICE-only management</x:v>
      </x:c>
      <x:c r="AB179" s="22" t="str">
        <x:v>Clinical review required</x:v>
      </x:c>
      <x:c r="AC179" s="22" t="str">
        <x:v>No definitive NICE-only management output</x:v>
      </x:c>
      <x:c r="AD179" s="22" t="str">
        <x:v>Do not generate treatment instructions. Display that an approved local protocol or specialist review is required.</x:v>
      </x:c>
      <x:c r="AE179" s="22" t="str">
        <x:v>This is a safety rule, not a treatment recommendation.</x:v>
      </x:c>
      <x:c r="AF179" s="22" t="str"/>
      <x:c r="AG179" s="22" t="str"/>
      <x:c r="AH179" s="22" t="str">
        <x:v>Hyperkalaemia adult CKD before RAAS antagonist guideline systematic review clinical review</x:v>
      </x:c>
      <x:c r="AI179" s="22" t="str">
        <x:v>test</x:v>
      </x:c>
      <x:c r="AJ179" s="22" t="str">
        <x:v>Yes</x:v>
      </x:c>
      <x:c r="AK179" s="22" t="str">
        <x:v>Pending</x:v>
      </x:c>
    </x:row>
    <x:row r="180">
      <x:c r="A180" t="str">
        <x:v>CASE-0553</x:v>
      </x:c>
      <x:c r="B180" s="22" t="str">
        <x:v>77-year-old male with hypercalcaemia. Adjusted calcium is 3.72 mmol/L; baseline is 3.09 mmol/L. Context: General adult presentation. Symptoms: polyuria. IV fluids: No; CKD stage: None; heart failure: No; AKI: No; dialysis: No; eGFR: 82.7 mL/min/1.73m².</x:v>
      </x:c>
      <x:c r="C180" t="n">
        <x:v>77</x:v>
      </x:c>
      <x:c r="D180" t="str">
        <x:v>Male</x:v>
      </x:c>
      <x:c r="E180" t="str">
        <x:v>Not applicable</x:v>
      </x:c>
      <x:c r="F180" t="str">
        <x:v>Adjusted calcium</x:v>
      </x:c>
      <x:c r="G180" t="str">
        <x:v>Hypercalcaemia</x:v>
      </x:c>
      <x:c r="H180" t="n">
        <x:v>3.72</x:v>
      </x:c>
      <x:c r="I180" t="str">
        <x:v>mmol/L</x:v>
      </x:c>
      <x:c r="J180" s="22" t="str">
        <x:v>General adult presentation</x:v>
      </x:c>
      <x:c r="K180" s="22" t="str">
        <x:v>No</x:v>
      </x:c>
      <x:c r="L180" s="22" t="str">
        <x:v>No</x:v>
      </x:c>
      <x:c r="M180" s="22" t="n">
        <x:v>3.09</x:v>
      </x:c>
      <x:c r="N180" s="22" t="str">
        <x:v>None</x:v>
      </x:c>
      <x:c r="O180" s="22" t="str">
        <x:v>No</x:v>
      </x:c>
      <x:c r="P180" s="22" t="str">
        <x:v>No</x:v>
      </x:c>
      <x:c r="Q180" s="22" t="str">
        <x:v>Not applicable</x:v>
      </x:c>
      <x:c r="R180" s="22" t="str">
        <x:v>Not applicable</x:v>
      </x:c>
      <x:c r="S180" s="22" t="str">
        <x:v>No</x:v>
      </x:c>
      <x:c r="T180" s="22" t="str">
        <x:v>No</x:v>
      </x:c>
      <x:c r="U180" s="22" t="str">
        <x:v>No</x:v>
      </x:c>
      <x:c r="V180" s="22" t="str">
        <x:v>polyuria</x:v>
      </x:c>
      <x:c r="W180" s="22" t="str">
        <x:v>No</x:v>
      </x:c>
      <x:c r="X180" s="22" t="str">
        <x:v>Euvolaemic</x:v>
      </x:c>
      <x:c r="Y180" s="22" t="n">
        <x:v>82.7</x:v>
      </x:c>
      <x:c r="Z180" s="22" t="str">
        <x:v>NICE-UNSUPPORTED-001</x:v>
      </x:c>
      <x:c r="AA180" s="22" t="str">
        <x:v>No definitive NICE-only management</x:v>
      </x:c>
      <x:c r="AB180" s="22" t="str">
        <x:v>Clinical review required</x:v>
      </x:c>
      <x:c r="AC180" s="22" t="str">
        <x:v>No definitive NICE-only management output</x:v>
      </x:c>
      <x:c r="AD180" s="22" t="str">
        <x:v>Do not generate treatment instructions. Display that an approved local protocol or specialist review is required.</x:v>
      </x:c>
      <x:c r="AE180" s="22" t="str">
        <x:v>This is a safety rule, not a treatment recommendation.</x:v>
      </x:c>
      <x:c r="AF180" s="22" t="str"/>
      <x:c r="AG180" s="22" t="str"/>
      <x:c r="AH180" s="22" t="str">
        <x:v>Hypercalcaemia adult General adult presentation guideline systematic review clinical review</x:v>
      </x:c>
      <x:c r="AI180" s="22" t="str">
        <x:v>test</x:v>
      </x:c>
      <x:c r="AJ180" s="22" t="str">
        <x:v>Yes</x:v>
      </x:c>
      <x:c r="AK180" s="22" t="str">
        <x:v>Pending</x:v>
      </x:c>
    </x:row>
    <x:row r="181">
      <x:c r="A181" t="str">
        <x:v>CASE-0771</x:v>
      </x:c>
      <x:c r="B181" s="22" t="str">
        <x:v>83-year-old female with hypermagnesaemia. Magnesium is 2.03 mmol/L; baseline is 2.78 mmol/L. Context: General adult presentation. Symptoms: None reported. IV fluids: No; CKD stage: None; heart failure: No; AKI: No; dialysis: No; eGFR: 91.1 mL/min/1.73m².</x:v>
      </x:c>
      <x:c r="C181" t="n">
        <x:v>83</x:v>
      </x:c>
      <x:c r="D181" t="str">
        <x:v>Female</x:v>
      </x:c>
      <x:c r="E181" t="str">
        <x:v>Not applicable</x:v>
      </x:c>
      <x:c r="F181" t="str">
        <x:v>Magnesium</x:v>
      </x:c>
      <x:c r="G181" t="str">
        <x:v>Hypermagnesaemia</x:v>
      </x:c>
      <x:c r="H181" t="n">
        <x:v>2.03</x:v>
      </x:c>
      <x:c r="I181" t="str">
        <x:v>mmol/L</x:v>
      </x:c>
      <x:c r="J181" s="22" t="str">
        <x:v>General adult presentation</x:v>
      </x:c>
      <x:c r="K181" s="22" t="str">
        <x:v>No</x:v>
      </x:c>
      <x:c r="L181" s="22" t="str">
        <x:v>No</x:v>
      </x:c>
      <x:c r="M181" s="22" t="n">
        <x:v>2.78</x:v>
      </x:c>
      <x:c r="N181" s="22" t="str">
        <x:v>None</x:v>
      </x:c>
      <x:c r="O181" s="22" t="str">
        <x:v>No</x:v>
      </x:c>
      <x:c r="P181" s="22" t="str">
        <x:v>No</x:v>
      </x:c>
      <x:c r="Q181" s="22" t="str">
        <x:v>Not applicable</x:v>
      </x:c>
      <x:c r="R181" s="22" t="str">
        <x:v>Not applicable</x:v>
      </x:c>
      <x:c r="S181" s="22" t="str">
        <x:v>No</x:v>
      </x:c>
      <x:c r="T181" s="22" t="str">
        <x:v>No</x:v>
      </x:c>
      <x:c r="U181" s="22" t="str">
        <x:v>No</x:v>
      </x:c>
      <x:c r="V181" s="22" t="str">
        <x:v>None reported</x:v>
      </x:c>
      <x:c r="W181" s="22" t="str">
        <x:v>No</x:v>
      </x:c>
      <x:c r="X181" s="22" t="str">
        <x:v>Hypovolaemic</x:v>
      </x:c>
      <x:c r="Y181" s="22" t="n">
        <x:v>91.1</x:v>
      </x:c>
      <x:c r="Z181" s="22" t="str">
        <x:v>NICE-UNSUPPORTED-001</x:v>
      </x:c>
      <x:c r="AA181" s="22" t="str">
        <x:v>No definitive NICE-only management</x:v>
      </x:c>
      <x:c r="AB181" s="22" t="str">
        <x:v>Clinical review required</x:v>
      </x:c>
      <x:c r="AC181" s="22" t="str">
        <x:v>No definitive NICE-only management output</x:v>
      </x:c>
      <x:c r="AD181" s="22" t="str">
        <x:v>Do not generate treatment instructions. Display that an approved local protocol or specialist review is required.</x:v>
      </x:c>
      <x:c r="AE181" s="22" t="str">
        <x:v>This is a safety rule, not a treatment recommendation.</x:v>
      </x:c>
      <x:c r="AF181" s="22" t="str"/>
      <x:c r="AG181" s="22" t="str"/>
      <x:c r="AH181" s="22" t="str">
        <x:v>Hypermagnesaemia adult General adult presentation guideline systematic review clinical review</x:v>
      </x:c>
      <x:c r="AI181" s="22" t="str">
        <x:v>train</x:v>
      </x:c>
      <x:c r="AJ181" s="22" t="str">
        <x:v>Yes</x:v>
      </x:c>
      <x:c r="AK181" s="22" t="str">
        <x:v>Pending</x:v>
      </x:c>
    </x:row>
    <x:row r="182">
      <x:c r="A182" t="str">
        <x:v>CASE-0520</x:v>
      </x:c>
      <x:c r="B182" s="22" t="str">
        <x:v>53-year-old male with hypercalcaemia. Adjusted calcium is 2.62 mmol/L; baseline is 3.38 mmol/L. Context: Confirmed primary hyperparathyroidism. Symptoms: None reported. IV fluids: No; CKD stage: None; heart failure: No; AKI: No; dialysis: No; eGFR: 113.5 mL/min/1.73m².</x:v>
      </x:c>
      <x:c r="C182" t="n">
        <x:v>53</x:v>
      </x:c>
      <x:c r="D182" t="str">
        <x:v>Male</x:v>
      </x:c>
      <x:c r="E182" t="str">
        <x:v>Not applicable</x:v>
      </x:c>
      <x:c r="F182" t="str">
        <x:v>Adjusted calcium</x:v>
      </x:c>
      <x:c r="G182" t="str">
        <x:v>Hypercalcaemia</x:v>
      </x:c>
      <x:c r="H182" t="n">
        <x:v>2.62</x:v>
      </x:c>
      <x:c r="I182" t="str">
        <x:v>mmol/L</x:v>
      </x:c>
      <x:c r="J182" s="22" t="str">
        <x:v>Confirmed primary hyperparathyroidism</x:v>
      </x:c>
      <x:c r="K182" s="22" t="str">
        <x:v>No</x:v>
      </x:c>
      <x:c r="L182" s="22" t="str">
        <x:v>No</x:v>
      </x:c>
      <x:c r="M182" s="22" t="n">
        <x:v>3.38</x:v>
      </x:c>
      <x:c r="N182" s="22" t="str">
        <x:v>None</x:v>
      </x:c>
      <x:c r="O182" s="22" t="str">
        <x:v>No</x:v>
      </x:c>
      <x:c r="P182" s="22" t="str">
        <x:v>No</x:v>
      </x:c>
      <x:c r="Q182" s="22" t="str">
        <x:v>Not applicable</x:v>
      </x:c>
      <x:c r="R182" s="22" t="str">
        <x:v>Not applicable</x:v>
      </x:c>
      <x:c r="S182" s="22" t="str">
        <x:v>No</x:v>
      </x:c>
      <x:c r="T182" s="22" t="str">
        <x:v>Yes</x:v>
      </x:c>
      <x:c r="U182" s="22" t="str">
        <x:v>No</x:v>
      </x:c>
      <x:c r="V182" s="22" t="str">
        <x:v>None reported</x:v>
      </x:c>
      <x:c r="W182" s="22" t="str">
        <x:v>No</x:v>
      </x:c>
      <x:c r="X182" s="22" t="str">
        <x:v>Uncertain</x:v>
      </x:c>
      <x:c r="Y182" s="22" t="n">
        <x:v>113.5</x:v>
      </x:c>
      <x:c r="Z182" s="22" t="str">
        <x:v>NICE-CA-PHPT-SCREEN-001</x:v>
      </x:c>
      <x:c r="AA182" s="22" t="str">
        <x:v>Specific context-based NICE guidance</x:v>
      </x:c>
      <x:c r="AB182" s="22" t="str">
        <x:v>Diagnostic assessment</x:v>
      </x:c>
      <x:c r="AC182" s="22" t="str">
        <x:v>Specific NICE diagnostic guidance</x:v>
      </x:c>
      <x:c r="AD182" s="22" t="str">
        <x:v>Use albumin-adjusted serum calcium in the NICE diagnostic pathway for primary hyperparathyroidism.</x:v>
      </x:c>
      <x:c r="AE182" s="22" t="str">
        <x:v>Not an acute general hypercalcaemia pathway.</x:v>
      </x:c>
      <x:c r="AF182" s="22" t="str">
        <x:v>NICE-NG132</x:v>
      </x:c>
      <x:c r="AG182" s="22" t="str">
        <x:v>1.1.1 and Terms used</x:v>
      </x:c>
      <x:c r="AH182" s="22" t="str">
        <x:v>Hypercalcaemia adult Confirmed primary hyperparathyroidism guideline systematic review clinical review</x:v>
      </x:c>
      <x:c r="AI182" s="22" t="str">
        <x:v>train</x:v>
      </x:c>
      <x:c r="AJ182" s="22" t="str">
        <x:v>Yes</x:v>
      </x:c>
      <x:c r="AK182" s="22" t="str">
        <x:v>Pending</x:v>
      </x:c>
    </x:row>
    <x:row r="183">
      <x:c r="A183" t="str">
        <x:v>CASE-0264</x:v>
      </x:c>
      <x:c r="B183" s="22" t="str">
        <x:v>54-year-old female with hypokalaemia. Potassium is 3.29 mmol/L; baseline is 3.31 mmol/L. Context: General adult presentation. Symptoms: constipation, muscle cramps. IV fluids: No; CKD stage: None; heart failure: No; AKI: No; dialysis: No; eGFR: 84.2 mL/min/1.73m².</x:v>
      </x:c>
      <x:c r="C183" t="n">
        <x:v>54</x:v>
      </x:c>
      <x:c r="D183" t="str">
        <x:v>Female</x:v>
      </x:c>
      <x:c r="E183" t="str">
        <x:v>Not applicable</x:v>
      </x:c>
      <x:c r="F183" t="str">
        <x:v>Potassium</x:v>
      </x:c>
      <x:c r="G183" t="str">
        <x:v>Hypokalaemia</x:v>
      </x:c>
      <x:c r="H183" t="n">
        <x:v>3.29</x:v>
      </x:c>
      <x:c r="I183" t="str">
        <x:v>mmol/L</x:v>
      </x:c>
      <x:c r="J183" s="22" t="str">
        <x:v>General adult presentation</x:v>
      </x:c>
      <x:c r="K183" s="22" t="str">
        <x:v>No</x:v>
      </x:c>
      <x:c r="L183" s="22" t="str">
        <x:v>No</x:v>
      </x:c>
      <x:c r="M183" s="22" t="n">
        <x:v>3.31</x:v>
      </x:c>
      <x:c r="N183" s="22" t="str">
        <x:v>None</x:v>
      </x:c>
      <x:c r="O183" s="22" t="str">
        <x:v>No</x:v>
      </x:c>
      <x:c r="P183" s="22" t="str">
        <x:v>No</x:v>
      </x:c>
      <x:c r="Q183" s="22" t="str">
        <x:v>Not applicable</x:v>
      </x:c>
      <x:c r="R183" s="22" t="str">
        <x:v>Not applicable</x:v>
      </x:c>
      <x:c r="S183" s="22" t="str">
        <x:v>No</x:v>
      </x:c>
      <x:c r="T183" s="22" t="str">
        <x:v>No</x:v>
      </x:c>
      <x:c r="U183" s="22" t="str">
        <x:v>No</x:v>
      </x:c>
      <x:c r="V183" s="22" t="str">
        <x:v>constipation, muscle cramps</x:v>
      </x:c>
      <x:c r="W183" s="22" t="str">
        <x:v>No</x:v>
      </x:c>
      <x:c r="X183" s="22" t="str">
        <x:v>Hypovolaemic</x:v>
      </x:c>
      <x:c r="Y183" s="22" t="n">
        <x:v>84.2</x:v>
      </x:c>
      <x:c r="Z183" s="22" t="str">
        <x:v>NICE-UNSUPPORTED-001</x:v>
      </x:c>
      <x:c r="AA183" s="22" t="str">
        <x:v>No definitive NICE-only management</x:v>
      </x:c>
      <x:c r="AB183" s="22" t="str">
        <x:v>Clinical review required</x:v>
      </x:c>
      <x:c r="AC183" s="22" t="str">
        <x:v>No definitive NICE-only management output</x:v>
      </x:c>
      <x:c r="AD183" s="22" t="str">
        <x:v>Do not generate treatment instructions. Display that an approved local protocol or specialist review is required.</x:v>
      </x:c>
      <x:c r="AE183" s="22" t="str">
        <x:v>This is a safety rule, not a treatment recommendation.</x:v>
      </x:c>
      <x:c r="AF183" s="22" t="str"/>
      <x:c r="AG183" s="22" t="str"/>
      <x:c r="AH183" s="22" t="str">
        <x:v>Hypokalaemia adult General adult presentation guideline systematic review clinical review</x:v>
      </x:c>
      <x:c r="AI183" s="22" t="str">
        <x:v>train</x:v>
      </x:c>
      <x:c r="AJ183" s="22" t="str">
        <x:v>Yes</x:v>
      </x:c>
      <x:c r="AK183" s="22" t="str">
        <x:v>Pending</x:v>
      </x:c>
    </x:row>
    <x:row r="184">
      <x:c r="A184" t="str">
        <x:v>CASE-0326</x:v>
      </x:c>
      <x:c r="B184" s="22" t="str">
        <x:v>77-year-old male with hyperkalaemia. Potassium is 5.16 mmol/L; baseline is 5.82 mmol/L. Context: CKD RAAS monitoring. Symptoms: palpitations. IV fluids: No; CKD stage: 3a; heart failure: No; AKI: No; dialysis: No; eGFR: 44.9 mL/min/1.73m².</x:v>
      </x:c>
      <x:c r="C184" t="n">
        <x:v>77</x:v>
      </x:c>
      <x:c r="D184" t="str">
        <x:v>Male</x:v>
      </x:c>
      <x:c r="E184" t="str">
        <x:v>Not applicable</x:v>
      </x:c>
      <x:c r="F184" t="str">
        <x:v>Potassium</x:v>
      </x:c>
      <x:c r="G184" t="str">
        <x:v>Hyperkalaemia</x:v>
      </x:c>
      <x:c r="H184" t="n">
        <x:v>5.16</x:v>
      </x:c>
      <x:c r="I184" t="str">
        <x:v>mmol/L</x:v>
      </x:c>
      <x:c r="J184" s="22" t="str">
        <x:v>CKD RAAS monitoring</x:v>
      </x:c>
      <x:c r="K184" s="22" t="str">
        <x:v>No</x:v>
      </x:c>
      <x:c r="L184" s="22" t="str">
        <x:v>No</x:v>
      </x:c>
      <x:c r="M184" s="22" t="n">
        <x:v>5.82</x:v>
      </x:c>
      <x:c r="N184" s="22" t="str">
        <x:v>3a</x:v>
      </x:c>
      <x:c r="O184" s="22" t="str">
        <x:v>No</x:v>
      </x:c>
      <x:c r="P184" s="22" t="str">
        <x:v>No</x:v>
      </x:c>
      <x:c r="Q184" s="22" t="str">
        <x:v>Dose increased</x:v>
      </x:c>
      <x:c r="R184" s="22" t="str">
        <x:v>Not applicable</x:v>
      </x:c>
      <x:c r="S184" s="22" t="str">
        <x:v>No</x:v>
      </x:c>
      <x:c r="T184" s="22" t="str">
        <x:v>No</x:v>
      </x:c>
      <x:c r="U184" s="22" t="str">
        <x:v>No</x:v>
      </x:c>
      <x:c r="V184" s="22" t="str">
        <x:v>palpitations</x:v>
      </x:c>
      <x:c r="W184" s="22" t="str">
        <x:v>No</x:v>
      </x:c>
      <x:c r="X184" s="22" t="str">
        <x:v>Hypovolaemic</x:v>
      </x:c>
      <x:c r="Y184" s="22" t="n">
        <x:v>44.9</x:v>
      </x:c>
      <x:c r="Z184" s="22" t="str">
        <x:v>NICE-K-CKD-MONITOR-001</x:v>
      </x:c>
      <x:c r="AA184" s="22" t="str">
        <x:v>Specific context-based NICE guidance</x:v>
      </x:c>
      <x:c r="AB184" s="22" t="str">
        <x:v>Scheduled monitoring</x:v>
      </x:c>
      <x:c r="AC184" s="22" t="str">
        <x:v>Specific NICE monitoring guidance</x:v>
      </x:c>
      <x:c r="AD184" s="22" t="str">
        <x:v>Measure serum potassium and eGFR before treatment and repeat between 1 and 2 weeks after starting or each dose increase.</x:v>
      </x:c>
      <x:c r="AE184" s="22" t="str">
        <x:v>Use clinical judgement for more frequent monitoring and special populations.</x:v>
      </x:c>
      <x:c r="AF184" s="22" t="str">
        <x:v>NICE-NG203</x:v>
      </x:c>
      <x:c r="AG184" s="22" t="str">
        <x:v>1.6.15 and 1.6.18</x:v>
      </x:c>
      <x:c r="AH184" s="22" t="str">
        <x:v>Hyperkalaemia adult CKD RAAS monitoring guideline systematic review clinical review</x:v>
      </x:c>
      <x:c r="AI184" s="22" t="str">
        <x:v>train</x:v>
      </x:c>
      <x:c r="AJ184" s="22" t="str">
        <x:v>Yes</x:v>
      </x:c>
      <x:c r="AK184" s="22" t="str">
        <x:v>Pending</x:v>
      </x:c>
    </x:row>
    <x:row r="185">
      <x:c r="A185" t="str">
        <x:v>CASE-0009</x:v>
      </x:c>
      <x:c r="B185" s="22" t="str">
        <x:v>25-year-old female with hyponatraemia. Sodium is 116.4 mmol/L; baseline is 120.7 mmol/L. Context: General adult presentation. Symptoms: nausea. IV fluids: No; CKD stage: None; heart failure: No; AKI: No; dialysis: No; eGFR: 49.8 mL/min/1.73m².</x:v>
      </x:c>
      <x:c r="C185" t="n">
        <x:v>25</x:v>
      </x:c>
      <x:c r="D185" t="str">
        <x:v>Female</x:v>
      </x:c>
      <x:c r="E185" t="str">
        <x:v>Not pregnant</x:v>
      </x:c>
      <x:c r="F185" t="str">
        <x:v>Sodium</x:v>
      </x:c>
      <x:c r="G185" t="str">
        <x:v>Hyponatraemia</x:v>
      </x:c>
      <x:c r="H185" t="n">
        <x:v>116.4</x:v>
      </x:c>
      <x:c r="I185" t="str">
        <x:v>mmol/L</x:v>
      </x:c>
      <x:c r="J185" s="22" t="str">
        <x:v>General adult presentation</x:v>
      </x:c>
      <x:c r="K185" s="22" t="str">
        <x:v>No</x:v>
      </x:c>
      <x:c r="L185" s="22" t="str">
        <x:v>No</x:v>
      </x:c>
      <x:c r="M185" s="22" t="n">
        <x:v>120.7</x:v>
      </x:c>
      <x:c r="N185" s="22" t="str">
        <x:v>None</x:v>
      </x:c>
      <x:c r="O185" s="22" t="str">
        <x:v>No</x:v>
      </x:c>
      <x:c r="P185" s="22" t="str">
        <x:v>No</x:v>
      </x:c>
      <x:c r="Q185" s="22" t="str">
        <x:v>Not applicable</x:v>
      </x:c>
      <x:c r="R185" s="22" t="str">
        <x:v>Not applicable</x:v>
      </x:c>
      <x:c r="S185" s="22" t="str">
        <x:v>No</x:v>
      </x:c>
      <x:c r="T185" s="22" t="str">
        <x:v>No</x:v>
      </x:c>
      <x:c r="U185" s="22" t="str">
        <x:v>No</x:v>
      </x:c>
      <x:c r="V185" s="22" t="str">
        <x:v>nausea</x:v>
      </x:c>
      <x:c r="W185" s="22" t="str">
        <x:v>No</x:v>
      </x:c>
      <x:c r="X185" s="22" t="str">
        <x:v>Hypervolaemic</x:v>
      </x:c>
      <x:c r="Y185" s="22" t="n">
        <x:v>49.8</x:v>
      </x:c>
      <x:c r="Z185" s="22" t="str">
        <x:v>NICE-UNSUPPORTED-001</x:v>
      </x:c>
      <x:c r="AA185" s="22" t="str">
        <x:v>No definitive NICE-only management</x:v>
      </x:c>
      <x:c r="AB185" s="22" t="str">
        <x:v>Clinical review required</x:v>
      </x:c>
      <x:c r="AC185" s="22" t="str">
        <x:v>No definitive NICE-only management output</x:v>
      </x:c>
      <x:c r="AD185" s="22" t="str">
        <x:v>Do not generate treatment instructions. Display that an approved local protocol or specialist review is required.</x:v>
      </x:c>
      <x:c r="AE185" s="22" t="str">
        <x:v>This is a safety rule, not a treatment recommendation.</x:v>
      </x:c>
      <x:c r="AF185" s="22" t="str"/>
      <x:c r="AG185" s="22" t="str"/>
      <x:c r="AH185" s="22" t="str">
        <x:v>Hyponatraemia adult General adult presentation guideline systematic review clinical review</x:v>
      </x:c>
      <x:c r="AI185" s="22" t="str">
        <x:v>train</x:v>
      </x:c>
      <x:c r="AJ185" s="22" t="str">
        <x:v>Yes</x:v>
      </x:c>
      <x:c r="AK185" s="22" t="str">
        <x:v>Pending</x:v>
      </x:c>
    </x:row>
    <x:row r="186">
      <x:c r="A186" t="str">
        <x:v>CASE-0295</x:v>
      </x:c>
      <x:c r="B186" s="22" t="str">
        <x:v>56-year-old male with hypokalaemia. Potassium is 1.9 mmol/L; baseline is 2.05 mmol/L. Context: General adult presentation. Symptoms: muscle cramps. IV fluids: No; CKD stage: None; heart failure: No; AKI: No; dialysis: No; eGFR: 108.2 mL/min/1.73m².</x:v>
      </x:c>
      <x:c r="C186" t="n">
        <x:v>56</x:v>
      </x:c>
      <x:c r="D186" t="str">
        <x:v>Male</x:v>
      </x:c>
      <x:c r="E186" t="str">
        <x:v>Not applicable</x:v>
      </x:c>
      <x:c r="F186" t="str">
        <x:v>Potassium</x:v>
      </x:c>
      <x:c r="G186" t="str">
        <x:v>Hypokalaemia</x:v>
      </x:c>
      <x:c r="H186" t="n">
        <x:v>1.9</x:v>
      </x:c>
      <x:c r="I186" t="str">
        <x:v>mmol/L</x:v>
      </x:c>
      <x:c r="J186" s="22" t="str">
        <x:v>General adult presentation</x:v>
      </x:c>
      <x:c r="K186" s="22" t="str">
        <x:v>No</x:v>
      </x:c>
      <x:c r="L186" s="22" t="str">
        <x:v>No</x:v>
      </x:c>
      <x:c r="M186" s="22" t="n">
        <x:v>2.05</x:v>
      </x:c>
      <x:c r="N186" s="22" t="str">
        <x:v>None</x:v>
      </x:c>
      <x:c r="O186" s="22" t="str">
        <x:v>No</x:v>
      </x:c>
      <x:c r="P186" s="22" t="str">
        <x:v>No</x:v>
      </x:c>
      <x:c r="Q186" s="22" t="str">
        <x:v>Not applicable</x:v>
      </x:c>
      <x:c r="R186" s="22" t="str">
        <x:v>Not applicable</x:v>
      </x:c>
      <x:c r="S186" s="22" t="str">
        <x:v>No</x:v>
      </x:c>
      <x:c r="T186" s="22" t="str">
        <x:v>No</x:v>
      </x:c>
      <x:c r="U186" s="22" t="str">
        <x:v>No</x:v>
      </x:c>
      <x:c r="V186" s="22" t="str">
        <x:v>muscle cramps</x:v>
      </x:c>
      <x:c r="W186" s="22" t="str">
        <x:v>No</x:v>
      </x:c>
      <x:c r="X186" s="22" t="str">
        <x:v>Hypervolaemic</x:v>
      </x:c>
      <x:c r="Y186" s="22" t="n">
        <x:v>108.2</x:v>
      </x:c>
      <x:c r="Z186" s="22" t="str">
        <x:v>NICE-UNSUPPORTED-001</x:v>
      </x:c>
      <x:c r="AA186" s="22" t="str">
        <x:v>No definitive NICE-only management</x:v>
      </x:c>
      <x:c r="AB186" s="22" t="str">
        <x:v>Clinical review required</x:v>
      </x:c>
      <x:c r="AC186" s="22" t="str">
        <x:v>No definitive NICE-only management output</x:v>
      </x:c>
      <x:c r="AD186" s="22" t="str">
        <x:v>Do not generate treatment instructions. Display that an approved local protocol or specialist review is required.</x:v>
      </x:c>
      <x:c r="AE186" s="22" t="str">
        <x:v>This is a safety rule, not a treatment recommendation.</x:v>
      </x:c>
      <x:c r="AF186" s="22" t="str"/>
      <x:c r="AG186" s="22" t="str"/>
      <x:c r="AH186" s="22" t="str">
        <x:v>Hypokalaemia adult General adult presentation guideline systematic review clinical review</x:v>
      </x:c>
      <x:c r="AI186" s="22" t="str">
        <x:v>train</x:v>
      </x:c>
      <x:c r="AJ186" s="22" t="str">
        <x:v>Yes</x:v>
      </x:c>
      <x:c r="AK186" s="22" t="str">
        <x:v>Pending</x:v>
      </x:c>
    </x:row>
    <x:row r="187">
      <x:c r="A187" t="str">
        <x:v>CASE-0760</x:v>
      </x:c>
      <x:c r="B187" s="22" t="str">
        <x:v>58-year-old male with hypermagnesaemia. Magnesium is 4.11 mmol/L; baseline is 3.11 mmol/L. Context: General adult presentation. Symptoms: nausea, confusion. IV fluids: No; CKD stage: None; heart failure: No; AKI: No; dialysis: No; eGFR: 41.9 mL/min/1.73m².</x:v>
      </x:c>
      <x:c r="C187" t="n">
        <x:v>58</x:v>
      </x:c>
      <x:c r="D187" t="str">
        <x:v>Male</x:v>
      </x:c>
      <x:c r="E187" t="str">
        <x:v>Not applicable</x:v>
      </x:c>
      <x:c r="F187" t="str">
        <x:v>Magnesium</x:v>
      </x:c>
      <x:c r="G187" t="str">
        <x:v>Hypermagnesaemia</x:v>
      </x:c>
      <x:c r="H187" t="n">
        <x:v>4.11</x:v>
      </x:c>
      <x:c r="I187" t="str">
        <x:v>mmol/L</x:v>
      </x:c>
      <x:c r="J187" s="22" t="str">
        <x:v>General adult presentation</x:v>
      </x:c>
      <x:c r="K187" s="22" t="str">
        <x:v>No</x:v>
      </x:c>
      <x:c r="L187" s="22" t="str">
        <x:v>No</x:v>
      </x:c>
      <x:c r="M187" s="22" t="n">
        <x:v>3.11</x:v>
      </x:c>
      <x:c r="N187" s="22" t="str">
        <x:v>None</x:v>
      </x:c>
      <x:c r="O187" s="22" t="str">
        <x:v>No</x:v>
      </x:c>
      <x:c r="P187" s="22" t="str">
        <x:v>No</x:v>
      </x:c>
      <x:c r="Q187" s="22" t="str">
        <x:v>Not applicable</x:v>
      </x:c>
      <x:c r="R187" s="22" t="str">
        <x:v>Not applicable</x:v>
      </x:c>
      <x:c r="S187" s="22" t="str">
        <x:v>No</x:v>
      </x:c>
      <x:c r="T187" s="22" t="str">
        <x:v>No</x:v>
      </x:c>
      <x:c r="U187" s="22" t="str">
        <x:v>No</x:v>
      </x:c>
      <x:c r="V187" s="22" t="str">
        <x:v>nausea, confusion</x:v>
      </x:c>
      <x:c r="W187" s="22" t="str">
        <x:v>No</x:v>
      </x:c>
      <x:c r="X187" s="22" t="str">
        <x:v>Euvolaemic</x:v>
      </x:c>
      <x:c r="Y187" s="22" t="n">
        <x:v>41.9</x:v>
      </x:c>
      <x:c r="Z187" s="22" t="str">
        <x:v>NICE-UNSUPPORTED-001</x:v>
      </x:c>
      <x:c r="AA187" s="22" t="str">
        <x:v>No definitive NICE-only management</x:v>
      </x:c>
      <x:c r="AB187" s="22" t="str">
        <x:v>Clinical review required</x:v>
      </x:c>
      <x:c r="AC187" s="22" t="str">
        <x:v>No definitive NICE-only management output</x:v>
      </x:c>
      <x:c r="AD187" s="22" t="str">
        <x:v>Do not generate treatment instructions. Display that an approved local protocol or specialist review is required.</x:v>
      </x:c>
      <x:c r="AE187" s="22" t="str">
        <x:v>This is a safety rule, not a treatment recommendation.</x:v>
      </x:c>
      <x:c r="AF187" s="22" t="str"/>
      <x:c r="AG187" s="22" t="str"/>
      <x:c r="AH187" s="22" t="str">
        <x:v>Hypermagnesaemia adult General adult presentation guideline systematic review clinical review</x:v>
      </x:c>
      <x:c r="AI187" s="22" t="str">
        <x:v>train</x:v>
      </x:c>
      <x:c r="AJ187" s="22" t="str">
        <x:v>Yes</x:v>
      </x:c>
      <x:c r="AK187" s="22" t="str">
        <x:v>Pending</x:v>
      </x:c>
    </x:row>
    <x:row r="188">
      <x:c r="A188" t="str">
        <x:v>CASE-0676</x:v>
      </x:c>
      <x:c r="B188" s="22" t="str">
        <x:v>59-year-old male with hypomagnesaemia. Magnesium is 0.68 mmol/L; baseline is 0.58 mmol/L. Context: General adult presentation. Symptoms: cramps. IV fluids: No; CKD stage: None; heart failure: No; AKI: No; dialysis: No; eGFR: 108.0 mL/min/1.73m².</x:v>
      </x:c>
      <x:c r="C188" t="n">
        <x:v>59</x:v>
      </x:c>
      <x:c r="D188" t="str">
        <x:v>Male</x:v>
      </x:c>
      <x:c r="E188" t="str">
        <x:v>Not applicable</x:v>
      </x:c>
      <x:c r="F188" t="str">
        <x:v>Magnesium</x:v>
      </x:c>
      <x:c r="G188" t="str">
        <x:v>Hypomagnesaemia</x:v>
      </x:c>
      <x:c r="H188" t="n">
        <x:v>0.68</x:v>
      </x:c>
      <x:c r="I188" t="str">
        <x:v>mmol/L</x:v>
      </x:c>
      <x:c r="J188" s="22" t="str">
        <x:v>General adult presentation</x:v>
      </x:c>
      <x:c r="K188" s="22" t="str">
        <x:v>No</x:v>
      </x:c>
      <x:c r="L188" s="22" t="str">
        <x:v>No</x:v>
      </x:c>
      <x:c r="M188" s="22" t="n">
        <x:v>0.58</x:v>
      </x:c>
      <x:c r="N188" s="22" t="str">
        <x:v>None</x:v>
      </x:c>
      <x:c r="O188" s="22" t="str">
        <x:v>No</x:v>
      </x:c>
      <x:c r="P188" s="22" t="str">
        <x:v>No</x:v>
      </x:c>
      <x:c r="Q188" s="22" t="str">
        <x:v>Not applicable</x:v>
      </x:c>
      <x:c r="R188" s="22" t="str">
        <x:v>Not applicable</x:v>
      </x:c>
      <x:c r="S188" s="22" t="str">
        <x:v>No</x:v>
      </x:c>
      <x:c r="T188" s="22" t="str">
        <x:v>No</x:v>
      </x:c>
      <x:c r="U188" s="22" t="str">
        <x:v>No</x:v>
      </x:c>
      <x:c r="V188" s="22" t="str">
        <x:v>cramps</x:v>
      </x:c>
      <x:c r="W188" s="22" t="str">
        <x:v>No</x:v>
      </x:c>
      <x:c r="X188" s="22" t="str">
        <x:v>Hypervolaemic</x:v>
      </x:c>
      <x:c r="Y188" s="22" t="n">
        <x:v>108</x:v>
      </x:c>
      <x:c r="Z188" s="22" t="str">
        <x:v>NICE-UNSUPPORTED-001</x:v>
      </x:c>
      <x:c r="AA188" s="22" t="str">
        <x:v>No definitive NICE-only management</x:v>
      </x:c>
      <x:c r="AB188" s="22" t="str">
        <x:v>Clinical review required</x:v>
      </x:c>
      <x:c r="AC188" s="22" t="str">
        <x:v>No definitive NICE-only management output</x:v>
      </x:c>
      <x:c r="AD188" s="22" t="str">
        <x:v>Do not generate treatment instructions. Display that an approved local protocol or specialist review is required.</x:v>
      </x:c>
      <x:c r="AE188" s="22" t="str">
        <x:v>This is a safety rule, not a treatment recommendation.</x:v>
      </x:c>
      <x:c r="AF188" s="22" t="str"/>
      <x:c r="AG188" s="22" t="str"/>
      <x:c r="AH188" s="22" t="str">
        <x:v>Hypomagnesaemia adult General adult presentation guideline systematic review clinical review</x:v>
      </x:c>
      <x:c r="AI188" s="22" t="str">
        <x:v>train</x:v>
      </x:c>
      <x:c r="AJ188" s="22" t="str">
        <x:v>Yes</x:v>
      </x:c>
      <x:c r="AK188" s="22" t="str">
        <x:v>Pending</x:v>
      </x:c>
    </x:row>
    <x:row r="189">
      <x:c r="A189" t="str">
        <x:v>CASE-0582</x:v>
      </x:c>
      <x:c r="B189" s="22" t="str">
        <x:v>61-year-old female with hypercalcaemia. Adjusted calcium is 3.02 mmol/L; baseline is 3.61 mmol/L. Context: Possible primary hyperparathyroidism. Symptoms: polyuria. IV fluids: No; CKD stage: None; heart failure: No; AKI: No; dialysis: No; eGFR: 35.6 mL/min/1.73m².</x:v>
      </x:c>
      <x:c r="C189" t="n">
        <x:v>61</x:v>
      </x:c>
      <x:c r="D189" t="str">
        <x:v>Female</x:v>
      </x:c>
      <x:c r="E189" t="str">
        <x:v>Not applicable</x:v>
      </x:c>
      <x:c r="F189" t="str">
        <x:v>Adjusted calcium</x:v>
      </x:c>
      <x:c r="G189" t="str">
        <x:v>Hypercalcaemia</x:v>
      </x:c>
      <x:c r="H189" t="n">
        <x:v>3.02</x:v>
      </x:c>
      <x:c r="I189" t="str">
        <x:v>mmol/L</x:v>
      </x:c>
      <x:c r="J189" s="22" t="str">
        <x:v>Possible primary hyperparathyroidism</x:v>
      </x:c>
      <x:c r="K189" s="22" t="str">
        <x:v>No</x:v>
      </x:c>
      <x:c r="L189" s="22" t="str">
        <x:v>No</x:v>
      </x:c>
      <x:c r="M189" s="22" t="n">
        <x:v>3.61</x:v>
      </x:c>
      <x:c r="N189" s="22" t="str">
        <x:v>None</x:v>
      </x:c>
      <x:c r="O189" s="22" t="str">
        <x:v>No</x:v>
      </x:c>
      <x:c r="P189" s="22" t="str">
        <x:v>No</x:v>
      </x:c>
      <x:c r="Q189" s="22" t="str">
        <x:v>Not applicable</x:v>
      </x:c>
      <x:c r="R189" s="22" t="str">
        <x:v>Not applicable</x:v>
      </x:c>
      <x:c r="S189" s="22" t="str">
        <x:v>No</x:v>
      </x:c>
      <x:c r="T189" s="22" t="str">
        <x:v>No</x:v>
      </x:c>
      <x:c r="U189" s="22" t="str">
        <x:v>No</x:v>
      </x:c>
      <x:c r="V189" s="22" t="str">
        <x:v>polyuria</x:v>
      </x:c>
      <x:c r="W189" s="22" t="str">
        <x:v>No</x:v>
      </x:c>
      <x:c r="X189" s="22" t="str">
        <x:v>Euvolaemic</x:v>
      </x:c>
      <x:c r="Y189" s="22" t="n">
        <x:v>35.6</x:v>
      </x:c>
      <x:c r="Z189" s="22" t="str">
        <x:v>NICE-CA-PHPT-SCREEN-001</x:v>
      </x:c>
      <x:c r="AA189" s="22" t="str">
        <x:v>Specific context-based NICE guidance</x:v>
      </x:c>
      <x:c r="AB189" s="22" t="str">
        <x:v>Diagnostic assessment</x:v>
      </x:c>
      <x:c r="AC189" s="22" t="str">
        <x:v>Specific NICE diagnostic guidance</x:v>
      </x:c>
      <x:c r="AD189" s="22" t="str">
        <x:v>Use albumin-adjusted serum calcium in the NICE diagnostic pathway for primary hyperparathyroidism.</x:v>
      </x:c>
      <x:c r="AE189" s="22" t="str">
        <x:v>Not an acute general hypercalcaemia pathway.</x:v>
      </x:c>
      <x:c r="AF189" s="22" t="str">
        <x:v>NICE-NG132</x:v>
      </x:c>
      <x:c r="AG189" s="22" t="str">
        <x:v>1.1.1 and Terms used</x:v>
      </x:c>
      <x:c r="AH189" s="22" t="str">
        <x:v>Hypercalcaemia adult Possible primary hyperparathyroidism guideline systematic review clinical review</x:v>
      </x:c>
      <x:c r="AI189" s="22" t="str">
        <x:v>train</x:v>
      </x:c>
      <x:c r="AJ189" s="22" t="str">
        <x:v>Yes</x:v>
      </x:c>
      <x:c r="AK189" s="22" t="str">
        <x:v>Pending</x:v>
      </x:c>
    </x:row>
    <x:row r="190">
      <x:c r="A190" t="str">
        <x:v>CASE-0364</x:v>
      </x:c>
      <x:c r="B190" s="22" t="str">
        <x:v>68-year-old male with hyperkalaemia. Potassium is 6.14 mmol/L; baseline is 5.44 mmol/L. Context: AKI not responding to treatment. Symptoms: None reported. IV fluids: No; CKD stage: None; heart failure: No; AKI: Yes; dialysis: No; eGFR: 28.3 mL/min/1.73m².</x:v>
      </x:c>
      <x:c r="C190" t="n">
        <x:v>68</x:v>
      </x:c>
      <x:c r="D190" t="str">
        <x:v>Male</x:v>
      </x:c>
      <x:c r="E190" t="str">
        <x:v>Not applicable</x:v>
      </x:c>
      <x:c r="F190" t="str">
        <x:v>Potassium</x:v>
      </x:c>
      <x:c r="G190" t="str">
        <x:v>Hyperkalaemia</x:v>
      </x:c>
      <x:c r="H190" t="n">
        <x:v>6.14</x:v>
      </x:c>
      <x:c r="I190" t="str">
        <x:v>mmol/L</x:v>
      </x:c>
      <x:c r="J190" s="22" t="str">
        <x:v>AKI not responding to treatment</x:v>
      </x:c>
      <x:c r="K190" s="22" t="str">
        <x:v>No</x:v>
      </x:c>
      <x:c r="L190" s="22" t="str">
        <x:v>No</x:v>
      </x:c>
      <x:c r="M190" s="22" t="n">
        <x:v>5.44</x:v>
      </x:c>
      <x:c r="N190" s="22" t="str">
        <x:v>None</x:v>
      </x:c>
      <x:c r="O190" s="22" t="str">
        <x:v>No</x:v>
      </x:c>
      <x:c r="P190" s="22" t="str">
        <x:v>Yes</x:v>
      </x:c>
      <x:c r="Q190" s="22" t="str">
        <x:v>Not applicable</x:v>
      </x:c>
      <x:c r="R190" s="22" t="str">
        <x:v>Not applicable</x:v>
      </x:c>
      <x:c r="S190" s="22" t="str">
        <x:v>No</x:v>
      </x:c>
      <x:c r="T190" s="22" t="str">
        <x:v>No</x:v>
      </x:c>
      <x:c r="U190" s="22" t="str">
        <x:v>No</x:v>
      </x:c>
      <x:c r="V190" s="22" t="str">
        <x:v>None reported</x:v>
      </x:c>
      <x:c r="W190" s="22" t="str">
        <x:v>No</x:v>
      </x:c>
      <x:c r="X190" s="22" t="str">
        <x:v>Hypervolaemic</x:v>
      </x:c>
      <x:c r="Y190" s="22" t="n">
        <x:v>28.3</x:v>
      </x:c>
      <x:c r="Z190" s="22" t="str">
        <x:v>NICE-K-AKI-RRT-001</x:v>
      </x:c>
      <x:c r="AA190" s="22" t="str">
        <x:v>Specific context-based NICE guidance</x:v>
      </x:c>
      <x:c r="AB190" s="22" t="str">
        <x:v>Emergency specialist referral</x:v>
      </x:c>
      <x:c r="AC190" s="22" t="str">
        <x:v>Specific NICE escalation guidance</x:v>
      </x:c>
      <x:c r="AD190" s="22" t="str">
        <x:v>Refer immediately to nephrology and/or critical care for consideration of renal replacement therapy.</x:v>
      </x:c>
      <x:c r="AE190" s="22" t="str">
        <x:v>The decision must be based on the whole clinical condition, not an isolated potassium value.</x:v>
      </x:c>
      <x:c r="AF190" s="22" t="str">
        <x:v>NICE-NG148</x:v>
      </x:c>
      <x:c r="AG190" s="22" t="str">
        <x:v>1.5.8 to 1.5.11</x:v>
      </x:c>
      <x:c r="AH190" s="22" t="str">
        <x:v>Hyperkalaemia adult AKI not responding to treatment guideline systematic review clinical review</x:v>
      </x:c>
      <x:c r="AI190" s="22" t="str">
        <x:v>train</x:v>
      </x:c>
      <x:c r="AJ190" s="22" t="str">
        <x:v>Yes</x:v>
      </x:c>
      <x:c r="AK190" s="22" t="str">
        <x:v>Pending</x:v>
      </x:c>
    </x:row>
    <x:row r="191">
      <x:c r="A191" t="str">
        <x:v>CASE-0986</x:v>
      </x:c>
      <x:c r="B191" s="22" t="str">
        <x:v>50-year-old male with no detected magnesium abnormality. Magnesium is 0.79 mmol/L. General adult presentation.</x:v>
      </x:c>
      <x:c r="C191" t="n">
        <x:v>50</x:v>
      </x:c>
      <x:c r="D191" t="str">
        <x:v>Male</x:v>
      </x:c>
      <x:c r="E191" t="str">
        <x:v>Not applicable</x:v>
      </x:c>
      <x:c r="F191" t="str">
        <x:v>Magnesium</x:v>
      </x:c>
      <x:c r="G191" t="str">
        <x:v>No abnormality detected</x:v>
      </x:c>
      <x:c r="H191" t="n">
        <x:v>0.79</x:v>
      </x:c>
      <x:c r="I191" t="str">
        <x:v>mmol/L</x:v>
      </x:c>
      <x:c r="J191" s="22" t="str">
        <x:v>General adult presentation</x:v>
      </x:c>
      <x:c r="K191" s="22" t="str">
        <x:v>No</x:v>
      </x:c>
      <x:c r="L191" s="22" t="str">
        <x:v>No</x:v>
      </x:c>
      <x:c r="M191" s="22" t="n">
        <x:v>0.79</x:v>
      </x:c>
      <x:c r="N191" s="22" t="str">
        <x:v>None</x:v>
      </x:c>
      <x:c r="O191" s="22" t="str">
        <x:v>No</x:v>
      </x:c>
      <x:c r="P191" s="22" t="str">
        <x:v>No</x:v>
      </x:c>
      <x:c r="Q191" s="22" t="str">
        <x:v>Not applicable</x:v>
      </x:c>
      <x:c r="R191" s="22" t="str">
        <x:v>Not applicable</x:v>
      </x:c>
      <x:c r="S191" s="22" t="str">
        <x:v>No</x:v>
      </x:c>
      <x:c r="T191" s="22" t="str">
        <x:v>No</x:v>
      </x:c>
      <x:c r="U191" s="22" t="str">
        <x:v>No</x:v>
      </x:c>
      <x:c r="V191" s="22" t="str">
        <x:v>None reported</x:v>
      </x:c>
      <x:c r="W191" s="22" t="str">
        <x:v>No</x:v>
      </x:c>
      <x:c r="X191" s="22" t="str">
        <x:v>Euvolaemic</x:v>
      </x:c>
      <x:c r="Y191" s="22" t="n">
        <x:v>98.8</x:v>
      </x:c>
      <x:c r="Z191" s="22" t="str">
        <x:v>NICE-GLOBAL-ASSESS-001</x:v>
      </x:c>
      <x:c r="AA191" s="22" t="str">
        <x:v>General NICE assessment only</x:v>
      </x:c>
      <x:c r="AB191" s="22" t="str">
        <x:v>Routine review</x:v>
      </x:c>
      <x:c r="AC191" s="22" t="str">
        <x:v>No abnormality-specific management</x:v>
      </x:c>
      <x:c r="AD191" s="22" t="str">
        <x:v>No electrolyte abnormality is detected by the synthetic reference range; interpret the result with the full clinical picture.</x:v>
      </x:c>
      <x:c r="AE191" s="22" t="str">
        <x:v>Synthetic reference ranges are not NICE management thresholds.</x:v>
      </x:c>
      <x:c r="AF191" s="22" t="str">
        <x:v>NICE-CG174</x:v>
      </x:c>
      <x:c r="AG191" s="22" t="str">
        <x:v>1.1.1 and 1.2.2</x:v>
      </x:c>
      <x:c r="AH191" s="22" t="str">
        <x:v>Magnesium reference interval adult laboratory interpretation</x:v>
      </x:c>
      <x:c r="AI191" s="22" t="str">
        <x:v>train</x:v>
      </x:c>
      <x:c r="AJ191" s="22" t="str">
        <x:v>Yes</x:v>
      </x:c>
      <x:c r="AK191" s="22" t="str">
        <x:v>Pending</x:v>
      </x:c>
    </x:row>
    <x:row r="192">
      <x:c r="A192" t="str">
        <x:v>CASE-0430</x:v>
      </x:c>
      <x:c r="B192" s="22" t="str">
        <x:v>55-year-old male with hypocalcaemia. Adjusted calcium is 1.88 mmol/L; baseline is 1.98 mmol/L. Context: General adult presentation. Symptoms: tetany, seizure. IV fluids: No; CKD stage: None; heart failure: No; AKI: No; dialysis: No; eGFR: 26.5 mL/min/1.73m².</x:v>
      </x:c>
      <x:c r="C192" t="n">
        <x:v>55</x:v>
      </x:c>
      <x:c r="D192" t="str">
        <x:v>Male</x:v>
      </x:c>
      <x:c r="E192" t="str">
        <x:v>Not applicable</x:v>
      </x:c>
      <x:c r="F192" t="str">
        <x:v>Adjusted calcium</x:v>
      </x:c>
      <x:c r="G192" t="str">
        <x:v>Hypocalcaemia</x:v>
      </x:c>
      <x:c r="H192" t="n">
        <x:v>1.88</x:v>
      </x:c>
      <x:c r="I192" t="str">
        <x:v>mmol/L</x:v>
      </x:c>
      <x:c r="J192" s="22" t="str">
        <x:v>General adult presentation</x:v>
      </x:c>
      <x:c r="K192" s="22" t="str">
        <x:v>No</x:v>
      </x:c>
      <x:c r="L192" s="22" t="str">
        <x:v>No</x:v>
      </x:c>
      <x:c r="M192" s="22" t="n">
        <x:v>1.98</x:v>
      </x:c>
      <x:c r="N192" s="22" t="str">
        <x:v>None</x:v>
      </x:c>
      <x:c r="O192" s="22" t="str">
        <x:v>No</x:v>
      </x:c>
      <x:c r="P192" s="22" t="str">
        <x:v>No</x:v>
      </x:c>
      <x:c r="Q192" s="22" t="str">
        <x:v>Not applicable</x:v>
      </x:c>
      <x:c r="R192" s="22" t="str">
        <x:v>Not applicable</x:v>
      </x:c>
      <x:c r="S192" s="22" t="str">
        <x:v>No</x:v>
      </x:c>
      <x:c r="T192" s="22" t="str">
        <x:v>No</x:v>
      </x:c>
      <x:c r="U192" s="22" t="str">
        <x:v>No</x:v>
      </x:c>
      <x:c r="V192" s="22" t="str">
        <x:v>tetany, seizure</x:v>
      </x:c>
      <x:c r="W192" s="22" t="str">
        <x:v>No</x:v>
      </x:c>
      <x:c r="X192" s="22" t="str">
        <x:v>Hypovolaemic</x:v>
      </x:c>
      <x:c r="Y192" s="22" t="n">
        <x:v>26.5</x:v>
      </x:c>
      <x:c r="Z192" s="22" t="str">
        <x:v>NICE-UNSUPPORTED-001</x:v>
      </x:c>
      <x:c r="AA192" s="22" t="str">
        <x:v>No definitive NICE-only management</x:v>
      </x:c>
      <x:c r="AB192" s="22" t="str">
        <x:v>Clinical review required</x:v>
      </x:c>
      <x:c r="AC192" s="22" t="str">
        <x:v>No definitive NICE-only management output</x:v>
      </x:c>
      <x:c r="AD192" s="22" t="str">
        <x:v>Do not generate treatment instructions. Display that an approved local protocol or specialist review is required.</x:v>
      </x:c>
      <x:c r="AE192" s="22" t="str">
        <x:v>This is a safety rule, not a treatment recommendation.</x:v>
      </x:c>
      <x:c r="AF192" s="22" t="str"/>
      <x:c r="AG192" s="22" t="str"/>
      <x:c r="AH192" s="22" t="str">
        <x:v>Hypocalcaemia adult General adult presentation guideline systematic review clinical review</x:v>
      </x:c>
      <x:c r="AI192" s="22" t="str">
        <x:v>train</x:v>
      </x:c>
      <x:c r="AJ192" s="22" t="str">
        <x:v>Yes</x:v>
      </x:c>
      <x:c r="AK192" s="22" t="str">
        <x:v>Pending</x:v>
      </x:c>
    </x:row>
    <x:row r="193">
      <x:c r="A193" t="str">
        <x:v>CASE-0754</x:v>
      </x:c>
      <x:c r="B193" s="22" t="str">
        <x:v>32-year-old female with hypermagnesaemia. Magnesium is 3.01 mmol/L; baseline is 4.5 mmol/L. Context: General adult presentation. Symptoms: None reported. IV fluids: No; CKD stage: None; heart failure: No; AKI: No; dialysis: No; eGFR: 90.0 mL/min/1.73m².</x:v>
      </x:c>
      <x:c r="C193" t="n">
        <x:v>32</x:v>
      </x:c>
      <x:c r="D193" t="str">
        <x:v>Female</x:v>
      </x:c>
      <x:c r="E193" t="str">
        <x:v>Not pregnant</x:v>
      </x:c>
      <x:c r="F193" t="str">
        <x:v>Magnesium</x:v>
      </x:c>
      <x:c r="G193" t="str">
        <x:v>Hypermagnesaemia</x:v>
      </x:c>
      <x:c r="H193" t="n">
        <x:v>3.01</x:v>
      </x:c>
      <x:c r="I193" t="str">
        <x:v>mmol/L</x:v>
      </x:c>
      <x:c r="J193" s="22" t="str">
        <x:v>General adult presentation</x:v>
      </x:c>
      <x:c r="K193" s="22" t="str">
        <x:v>No</x:v>
      </x:c>
      <x:c r="L193" s="22" t="str">
        <x:v>No</x:v>
      </x:c>
      <x:c r="M193" s="22" t="n">
        <x:v>4.5</x:v>
      </x:c>
      <x:c r="N193" s="22" t="str">
        <x:v>None</x:v>
      </x:c>
      <x:c r="O193" s="22" t="str">
        <x:v>No</x:v>
      </x:c>
      <x:c r="P193" s="22" t="str">
        <x:v>No</x:v>
      </x:c>
      <x:c r="Q193" s="22" t="str">
        <x:v>Not applicable</x:v>
      </x:c>
      <x:c r="R193" s="22" t="str">
        <x:v>Not applicable</x:v>
      </x:c>
      <x:c r="S193" s="22" t="str">
        <x:v>No</x:v>
      </x:c>
      <x:c r="T193" s="22" t="str">
        <x:v>No</x:v>
      </x:c>
      <x:c r="U193" s="22" t="str">
        <x:v>No</x:v>
      </x:c>
      <x:c r="V193" s="22" t="str">
        <x:v>None reported</x:v>
      </x:c>
      <x:c r="W193" s="22" t="str">
        <x:v>No</x:v>
      </x:c>
      <x:c r="X193" s="22" t="str">
        <x:v>Euvolaemic</x:v>
      </x:c>
      <x:c r="Y193" s="22" t="n">
        <x:v>90</x:v>
      </x:c>
      <x:c r="Z193" s="22" t="str">
        <x:v>NICE-UNSUPPORTED-001</x:v>
      </x:c>
      <x:c r="AA193" s="22" t="str">
        <x:v>No definitive NICE-only management</x:v>
      </x:c>
      <x:c r="AB193" s="22" t="str">
        <x:v>Clinical review required</x:v>
      </x:c>
      <x:c r="AC193" s="22" t="str">
        <x:v>No definitive NICE-only management output</x:v>
      </x:c>
      <x:c r="AD193" s="22" t="str">
        <x:v>Do not generate treatment instructions. Display that an approved local protocol or specialist review is required.</x:v>
      </x:c>
      <x:c r="AE193" s="22" t="str">
        <x:v>This is a safety rule, not a treatment recommendation.</x:v>
      </x:c>
      <x:c r="AF193" s="22" t="str"/>
      <x:c r="AG193" s="22" t="str"/>
      <x:c r="AH193" s="22" t="str">
        <x:v>Hypermagnesaemia adult General adult presentation guideline systematic review clinical review</x:v>
      </x:c>
      <x:c r="AI193" s="22" t="str">
        <x:v>train</x:v>
      </x:c>
      <x:c r="AJ193" s="22" t="str">
        <x:v>Yes</x:v>
      </x:c>
      <x:c r="AK193" s="22" t="str">
        <x:v>Pending</x:v>
      </x:c>
    </x:row>
    <x:row r="194">
      <x:c r="A194" t="str">
        <x:v>CASE-0574</x:v>
      </x:c>
      <x:c r="B194" s="22" t="str">
        <x:v>60-year-old male with hypercalcaemia. Adjusted calcium is 2.92 mmol/L; baseline is 3.44 mmol/L. Context: Possible primary hyperparathyroidism. Symptoms: thirst. IV fluids: No; CKD stage: None; heart failure: No; AKI: No; dialysis: No; eGFR: 108.7 mL/min/1.73m².</x:v>
      </x:c>
      <x:c r="C194" t="n">
        <x:v>60</x:v>
      </x:c>
      <x:c r="D194" t="str">
        <x:v>Male</x:v>
      </x:c>
      <x:c r="E194" t="str">
        <x:v>Not applicable</x:v>
      </x:c>
      <x:c r="F194" t="str">
        <x:v>Adjusted calcium</x:v>
      </x:c>
      <x:c r="G194" t="str">
        <x:v>Hypercalcaemia</x:v>
      </x:c>
      <x:c r="H194" t="n">
        <x:v>2.92</x:v>
      </x:c>
      <x:c r="I194" t="str">
        <x:v>mmol/L</x:v>
      </x:c>
      <x:c r="J194" s="22" t="str">
        <x:v>Possible primary hyperparathyroidism</x:v>
      </x:c>
      <x:c r="K194" s="22" t="str">
        <x:v>No</x:v>
      </x:c>
      <x:c r="L194" s="22" t="str">
        <x:v>No</x:v>
      </x:c>
      <x:c r="M194" s="22" t="n">
        <x:v>3.44</x:v>
      </x:c>
      <x:c r="N194" s="22" t="str">
        <x:v>None</x:v>
      </x:c>
      <x:c r="O194" s="22" t="str">
        <x:v>No</x:v>
      </x:c>
      <x:c r="P194" s="22" t="str">
        <x:v>No</x:v>
      </x:c>
      <x:c r="Q194" s="22" t="str">
        <x:v>Not applicable</x:v>
      </x:c>
      <x:c r="R194" s="22" t="str">
        <x:v>Not applicable</x:v>
      </x:c>
      <x:c r="S194" s="22" t="str">
        <x:v>No</x:v>
      </x:c>
      <x:c r="T194" s="22" t="str">
        <x:v>No</x:v>
      </x:c>
      <x:c r="U194" s="22" t="str">
        <x:v>No</x:v>
      </x:c>
      <x:c r="V194" s="22" t="str">
        <x:v>thirst</x:v>
      </x:c>
      <x:c r="W194" s="22" t="str">
        <x:v>No</x:v>
      </x:c>
      <x:c r="X194" s="22" t="str">
        <x:v>Hypervolaemic</x:v>
      </x:c>
      <x:c r="Y194" s="22" t="n">
        <x:v>108.7</x:v>
      </x:c>
      <x:c r="Z194" s="22" t="str">
        <x:v>NICE-CA-PHPT-SCREEN-001</x:v>
      </x:c>
      <x:c r="AA194" s="22" t="str">
        <x:v>Specific context-based NICE guidance</x:v>
      </x:c>
      <x:c r="AB194" s="22" t="str">
        <x:v>Diagnostic assessment</x:v>
      </x:c>
      <x:c r="AC194" s="22" t="str">
        <x:v>Specific NICE diagnostic guidance</x:v>
      </x:c>
      <x:c r="AD194" s="22" t="str">
        <x:v>Use albumin-adjusted serum calcium in the NICE diagnostic pathway for primary hyperparathyroidism.</x:v>
      </x:c>
      <x:c r="AE194" s="22" t="str">
        <x:v>Not an acute general hypercalcaemia pathway.</x:v>
      </x:c>
      <x:c r="AF194" s="22" t="str">
        <x:v>NICE-NG132</x:v>
      </x:c>
      <x:c r="AG194" s="22" t="str">
        <x:v>1.1.1 and Terms used</x:v>
      </x:c>
      <x:c r="AH194" s="22" t="str">
        <x:v>Hypercalcaemia adult Possible primary hyperparathyroidism guideline systematic review clinical review</x:v>
      </x:c>
      <x:c r="AI194" s="22" t="str">
        <x:v>train</x:v>
      </x:c>
      <x:c r="AJ194" s="22" t="str">
        <x:v>Yes</x:v>
      </x:c>
      <x:c r="AK194" s="22" t="str">
        <x:v>Pending</x:v>
      </x:c>
    </x:row>
    <x:row r="195">
      <x:c r="A195" t="str">
        <x:v>CASE-0488</x:v>
      </x:c>
      <x:c r="B195" s="22" t="str">
        <x:v>62-year-old male with hypocalcaemia. Adjusted calcium is 1.67 mmol/L; baseline is 1.72 mmol/L. Context: General adult presentation. Symptoms: None reported. IV fluids: No; CKD stage: None; heart failure: No; AKI: No; dialysis: No; eGFR: 110.4 mL/min/1.73m².</x:v>
      </x:c>
      <x:c r="C195" t="n">
        <x:v>62</x:v>
      </x:c>
      <x:c r="D195" t="str">
        <x:v>Male</x:v>
      </x:c>
      <x:c r="E195" t="str">
        <x:v>Not applicable</x:v>
      </x:c>
      <x:c r="F195" t="str">
        <x:v>Adjusted calcium</x:v>
      </x:c>
      <x:c r="G195" t="str">
        <x:v>Hypocalcaemia</x:v>
      </x:c>
      <x:c r="H195" t="n">
        <x:v>1.67</x:v>
      </x:c>
      <x:c r="I195" t="str">
        <x:v>mmol/L</x:v>
      </x:c>
      <x:c r="J195" s="22" t="str">
        <x:v>General adult presentation</x:v>
      </x:c>
      <x:c r="K195" s="22" t="str">
        <x:v>No</x:v>
      </x:c>
      <x:c r="L195" s="22" t="str">
        <x:v>No</x:v>
      </x:c>
      <x:c r="M195" s="22" t="n">
        <x:v>1.72</x:v>
      </x:c>
      <x:c r="N195" s="22" t="str">
        <x:v>None</x:v>
      </x:c>
      <x:c r="O195" s="22" t="str">
        <x:v>No</x:v>
      </x:c>
      <x:c r="P195" s="22" t="str">
        <x:v>No</x:v>
      </x:c>
      <x:c r="Q195" s="22" t="str">
        <x:v>Not applicable</x:v>
      </x:c>
      <x:c r="R195" s="22" t="str">
        <x:v>Not applicable</x:v>
      </x:c>
      <x:c r="S195" s="22" t="str">
        <x:v>No</x:v>
      </x:c>
      <x:c r="T195" s="22" t="str">
        <x:v>No</x:v>
      </x:c>
      <x:c r="U195" s="22" t="str">
        <x:v>No</x:v>
      </x:c>
      <x:c r="V195" s="22" t="str">
        <x:v>None reported</x:v>
      </x:c>
      <x:c r="W195" s="22" t="str">
        <x:v>No</x:v>
      </x:c>
      <x:c r="X195" s="22" t="str">
        <x:v>Hypervolaemic</x:v>
      </x:c>
      <x:c r="Y195" s="22" t="n">
        <x:v>110.4</x:v>
      </x:c>
      <x:c r="Z195" s="22" t="str">
        <x:v>NICE-UNSUPPORTED-001</x:v>
      </x:c>
      <x:c r="AA195" s="22" t="str">
        <x:v>No definitive NICE-only management</x:v>
      </x:c>
      <x:c r="AB195" s="22" t="str">
        <x:v>Clinical review required</x:v>
      </x:c>
      <x:c r="AC195" s="22" t="str">
        <x:v>No definitive NICE-only management output</x:v>
      </x:c>
      <x:c r="AD195" s="22" t="str">
        <x:v>Do not generate treatment instructions. Display that an approved local protocol or specialist review is required.</x:v>
      </x:c>
      <x:c r="AE195" s="22" t="str">
        <x:v>This is a safety rule, not a treatment recommendation.</x:v>
      </x:c>
      <x:c r="AF195" s="22" t="str"/>
      <x:c r="AG195" s="22" t="str"/>
      <x:c r="AH195" s="22" t="str">
        <x:v>Hypocalcaemia adult General adult presentation guideline systematic review clinical review</x:v>
      </x:c>
      <x:c r="AI195" s="22" t="str">
        <x:v>validation</x:v>
      </x:c>
      <x:c r="AJ195" s="22" t="str">
        <x:v>Yes</x:v>
      </x:c>
      <x:c r="AK195" s="22" t="str">
        <x:v>Pending</x:v>
      </x:c>
    </x:row>
    <x:row r="196">
      <x:c r="A196" t="str">
        <x:v>CASE-0357</x:v>
      </x:c>
      <x:c r="B196" s="22" t="str">
        <x:v>56-year-old male with hyperkalaemia. Potassium is 6.61 mmol/L; baseline is 7.02 mmol/L. Context: Persistent hyperkalaemia. Symptoms: None reported. IV fluids: No; CKD stage: 5; heart failure: No; AKI: No; dialysis: No; eGFR: 20.2 mL/min/1.73m².</x:v>
      </x:c>
      <x:c r="C196" t="n">
        <x:v>56</x:v>
      </x:c>
      <x:c r="D196" t="str">
        <x:v>Male</x:v>
      </x:c>
      <x:c r="E196" t="str">
        <x:v>Not applicable</x:v>
      </x:c>
      <x:c r="F196" t="str">
        <x:v>Potassium</x:v>
      </x:c>
      <x:c r="G196" t="str">
        <x:v>Hyperkalaemia</x:v>
      </x:c>
      <x:c r="H196" t="n">
        <x:v>6.61</x:v>
      </x:c>
      <x:c r="I196" t="str">
        <x:v>mmol/L</x:v>
      </x:c>
      <x:c r="J196" s="22" t="str">
        <x:v>Persistent hyperkalaemia</x:v>
      </x:c>
      <x:c r="K196" s="22" t="str">
        <x:v>No</x:v>
      </x:c>
      <x:c r="L196" s="22" t="str">
        <x:v>No</x:v>
      </x:c>
      <x:c r="M196" s="22" t="n">
        <x:v>7.02</x:v>
      </x:c>
      <x:c r="N196" s="22" t="str">
        <x:v>5</x:v>
      </x:c>
      <x:c r="O196" s="22" t="str">
        <x:v>No</x:v>
      </x:c>
      <x:c r="P196" s="22" t="str">
        <x:v>No</x:v>
      </x:c>
      <x:c r="Q196" s="22" t="str">
        <x:v>Not taking because of hyperkalaemia</x:v>
      </x:c>
      <x:c r="R196" s="22" t="str">
        <x:v>Not applicable</x:v>
      </x:c>
      <x:c r="S196" s="22" t="str">
        <x:v>No</x:v>
      </x:c>
      <x:c r="T196" s="22" t="str">
        <x:v>No</x:v>
      </x:c>
      <x:c r="U196" s="22" t="str">
        <x:v>No</x:v>
      </x:c>
      <x:c r="V196" s="22" t="str">
        <x:v>None reported</x:v>
      </x:c>
      <x:c r="W196" s="22" t="str">
        <x:v>No</x:v>
      </x:c>
      <x:c r="X196" s="22" t="str">
        <x:v>Hypervolaemic</x:v>
      </x:c>
      <x:c r="Y196" s="22" t="n">
        <x:v>20.2</x:v>
      </x:c>
      <x:c r="Z196" s="22" t="str">
        <x:v>NICE-K-PATIROMER-ELIG-001</x:v>
      </x:c>
      <x:c r="AA196" s="22" t="str">
        <x:v>Specific NICE medicine eligibility</x:v>
      </x:c>
      <x:c r="AB196" s="22" t="str">
        <x:v>Specialist treatment consideration</x:v>
      </x:c>
      <x:c r="AC196" s="22" t="str">
        <x:v>NICE medicine eligibility flag</x:v>
      </x:c>
      <x:c r="AD196" s="22" t="str">
        <x:v>Flag that patiromer is a NICE option if all stated eligibility conditions are confirmed.</x:v>
      </x:c>
      <x:c r="AE196" s="22" t="str">
        <x:v>Does not select a dose or replace standard emergency care.</x:v>
      </x:c>
      <x:c r="AF196" s="22" t="str">
        <x:v>NICE-TA623</x:v>
      </x:c>
      <x:c r="AG196" s="22" t="str">
        <x:v>1.1 and 1.2</x:v>
      </x:c>
      <x:c r="AH196" s="22" t="str">
        <x:v>Hyperkalaemia adult Persistent hyperkalaemia guideline systematic review clinical review</x:v>
      </x:c>
      <x:c r="AI196" s="22" t="str">
        <x:v>validation</x:v>
      </x:c>
      <x:c r="AJ196" s="22" t="str">
        <x:v>Yes</x:v>
      </x:c>
      <x:c r="AK196" s="22" t="str">
        <x:v>Pending</x:v>
      </x:c>
    </x:row>
    <x:row r="197">
      <x:c r="A197" t="str">
        <x:v>CASE-0775</x:v>
      </x:c>
      <x:c r="B197" s="22" t="str">
        <x:v>31-year-old female with hypermagnesaemia. Magnesium is 3.42 mmol/L; baseline is 1.62 mmol/L. Context: General adult presentation. Symptoms: None reported. IV fluids: No; CKD stage: None; heart failure: No; AKI: No; dialysis: No; eGFR: 33.7 mL/min/1.73m².</x:v>
      </x:c>
      <x:c r="C197" t="n">
        <x:v>31</x:v>
      </x:c>
      <x:c r="D197" t="str">
        <x:v>Female</x:v>
      </x:c>
      <x:c r="E197" t="str">
        <x:v>Not pregnant</x:v>
      </x:c>
      <x:c r="F197" t="str">
        <x:v>Magnesium</x:v>
      </x:c>
      <x:c r="G197" t="str">
        <x:v>Hypermagnesaemia</x:v>
      </x:c>
      <x:c r="H197" t="n">
        <x:v>3.42</x:v>
      </x:c>
      <x:c r="I197" t="str">
        <x:v>mmol/L</x:v>
      </x:c>
      <x:c r="J197" s="22" t="str">
        <x:v>General adult presentation</x:v>
      </x:c>
      <x:c r="K197" s="22" t="str">
        <x:v>No</x:v>
      </x:c>
      <x:c r="L197" s="22" t="str">
        <x:v>No</x:v>
      </x:c>
      <x:c r="M197" s="22" t="n">
        <x:v>1.62</x:v>
      </x:c>
      <x:c r="N197" s="22" t="str">
        <x:v>None</x:v>
      </x:c>
      <x:c r="O197" s="22" t="str">
        <x:v>No</x:v>
      </x:c>
      <x:c r="P197" s="22" t="str">
        <x:v>No</x:v>
      </x:c>
      <x:c r="Q197" s="22" t="str">
        <x:v>Not applicable</x:v>
      </x:c>
      <x:c r="R197" s="22" t="str">
        <x:v>Not applicable</x:v>
      </x:c>
      <x:c r="S197" s="22" t="str">
        <x:v>No</x:v>
      </x:c>
      <x:c r="T197" s="22" t="str">
        <x:v>No</x:v>
      </x:c>
      <x:c r="U197" s="22" t="str">
        <x:v>No</x:v>
      </x:c>
      <x:c r="V197" s="22" t="str">
        <x:v>None reported</x:v>
      </x:c>
      <x:c r="W197" s="22" t="str">
        <x:v>No</x:v>
      </x:c>
      <x:c r="X197" s="22" t="str">
        <x:v>Uncertain</x:v>
      </x:c>
      <x:c r="Y197" s="22" t="n">
        <x:v>33.7</x:v>
      </x:c>
      <x:c r="Z197" s="22" t="str">
        <x:v>NICE-UNSUPPORTED-001</x:v>
      </x:c>
      <x:c r="AA197" s="22" t="str">
        <x:v>No definitive NICE-only management</x:v>
      </x:c>
      <x:c r="AB197" s="22" t="str">
        <x:v>Clinical review required</x:v>
      </x:c>
      <x:c r="AC197" s="22" t="str">
        <x:v>No definitive NICE-only management output</x:v>
      </x:c>
      <x:c r="AD197" s="22" t="str">
        <x:v>Do not generate treatment instructions. Display that an approved local protocol or specialist review is required.</x:v>
      </x:c>
      <x:c r="AE197" s="22" t="str">
        <x:v>This is a safety rule, not a treatment recommendation.</x:v>
      </x:c>
      <x:c r="AF197" s="22" t="str"/>
      <x:c r="AG197" s="22" t="str"/>
      <x:c r="AH197" s="22" t="str">
        <x:v>Hypermagnesaemia adult General adult presentation guideline systematic review clinical review</x:v>
      </x:c>
      <x:c r="AI197" s="22" t="str">
        <x:v>validation</x:v>
      </x:c>
      <x:c r="AJ197" s="22" t="str">
        <x:v>Yes</x:v>
      </x:c>
      <x:c r="AK197" s="22" t="str">
        <x:v>Pending</x:v>
      </x:c>
    </x:row>
    <x:row r="198">
      <x:c r="A198" t="str">
        <x:v>CASE-0416</x:v>
      </x:c>
      <x:c r="B198" s="22" t="str">
        <x:v>71-year-old male with hypocalcaemia. Adjusted calcium is 1.83 mmol/L; baseline is 1.92 mmol/L. Context: General adult presentation. Symptoms: muscle cramps. IV fluids: No; CKD stage: None; heart failure: No; AKI: No; dialysis: No; eGFR: 70.3 mL/min/1.73m².</x:v>
      </x:c>
      <x:c r="C198" t="n">
        <x:v>71</x:v>
      </x:c>
      <x:c r="D198" t="str">
        <x:v>Male</x:v>
      </x:c>
      <x:c r="E198" t="str">
        <x:v>Not applicable</x:v>
      </x:c>
      <x:c r="F198" t="str">
        <x:v>Adjusted calcium</x:v>
      </x:c>
      <x:c r="G198" t="str">
        <x:v>Hypocalcaemia</x:v>
      </x:c>
      <x:c r="H198" t="n">
        <x:v>1.83</x:v>
      </x:c>
      <x:c r="I198" t="str">
        <x:v>mmol/L</x:v>
      </x:c>
      <x:c r="J198" s="22" t="str">
        <x:v>General adult presentation</x:v>
      </x:c>
      <x:c r="K198" s="22" t="str">
        <x:v>No</x:v>
      </x:c>
      <x:c r="L198" s="22" t="str">
        <x:v>No</x:v>
      </x:c>
      <x:c r="M198" s="22" t="n">
        <x:v>1.92</x:v>
      </x:c>
      <x:c r="N198" s="22" t="str">
        <x:v>None</x:v>
      </x:c>
      <x:c r="O198" s="22" t="str">
        <x:v>No</x:v>
      </x:c>
      <x:c r="P198" s="22" t="str">
        <x:v>No</x:v>
      </x:c>
      <x:c r="Q198" s="22" t="str">
        <x:v>Not applicable</x:v>
      </x:c>
      <x:c r="R198" s="22" t="str">
        <x:v>Not applicable</x:v>
      </x:c>
      <x:c r="S198" s="22" t="str">
        <x:v>No</x:v>
      </x:c>
      <x:c r="T198" s="22" t="str">
        <x:v>No</x:v>
      </x:c>
      <x:c r="U198" s="22" t="str">
        <x:v>No</x:v>
      </x:c>
      <x:c r="V198" s="22" t="str">
        <x:v>muscle cramps</x:v>
      </x:c>
      <x:c r="W198" s="22" t="str">
        <x:v>No</x:v>
      </x:c>
      <x:c r="X198" s="22" t="str">
        <x:v>Euvolaemic</x:v>
      </x:c>
      <x:c r="Y198" s="22" t="n">
        <x:v>70.3</x:v>
      </x:c>
      <x:c r="Z198" s="22" t="str">
        <x:v>NICE-UNSUPPORTED-001</x:v>
      </x:c>
      <x:c r="AA198" s="22" t="str">
        <x:v>No definitive NICE-only management</x:v>
      </x:c>
      <x:c r="AB198" s="22" t="str">
        <x:v>Clinical review required</x:v>
      </x:c>
      <x:c r="AC198" s="22" t="str">
        <x:v>No definitive NICE-only management output</x:v>
      </x:c>
      <x:c r="AD198" s="22" t="str">
        <x:v>Do not generate treatment instructions. Display that an approved local protocol or specialist review is required.</x:v>
      </x:c>
      <x:c r="AE198" s="22" t="str">
        <x:v>This is a safety rule, not a treatment recommendation.</x:v>
      </x:c>
      <x:c r="AF198" s="22" t="str"/>
      <x:c r="AG198" s="22" t="str"/>
      <x:c r="AH198" s="22" t="str">
        <x:v>Hypocalcaemia adult General adult presentation guideline systematic review clinical review</x:v>
      </x:c>
      <x:c r="AI198" s="22" t="str">
        <x:v>test</x:v>
      </x:c>
      <x:c r="AJ198" s="22" t="str">
        <x:v>Yes</x:v>
      </x:c>
      <x:c r="AK198" s="22" t="str">
        <x:v>Pending</x:v>
      </x:c>
    </x:row>
    <x:row r="199">
      <x:c r="A199" t="str">
        <x:v>CASE-0098</x:v>
      </x:c>
      <x:c r="B199" s="22" t="str">
        <x:v>60-year-old female with hyponatraemia. Sodium is 130.0 mmol/L; baseline is 137.7 mmol/L. Context: IV-fluid-related. Symptoms: nausea. IV fluids: Yes; CKD stage: None; heart failure: No; AKI: No; dialysis: No; eGFR: 59.7 mL/min/1.73m².</x:v>
      </x:c>
      <x:c r="C199" t="n">
        <x:v>60</x:v>
      </x:c>
      <x:c r="D199" t="str">
        <x:v>Female</x:v>
      </x:c>
      <x:c r="E199" t="str">
        <x:v>Not applicable</x:v>
      </x:c>
      <x:c r="F199" t="str">
        <x:v>Sodium</x:v>
      </x:c>
      <x:c r="G199" t="str">
        <x:v>Hyponatraemia</x:v>
      </x:c>
      <x:c r="H199" t="n">
        <x:v>130</x:v>
      </x:c>
      <x:c r="I199" t="str">
        <x:v>mmol/L</x:v>
      </x:c>
      <x:c r="J199" s="22" t="str">
        <x:v>IV-fluid-related</x:v>
      </x:c>
      <x:c r="K199" s="22" t="str">
        <x:v>Yes</x:v>
      </x:c>
      <x:c r="L199" s="22" t="str">
        <x:v>No</x:v>
      </x:c>
      <x:c r="M199" s="22" t="n">
        <x:v>137.7</x:v>
      </x:c>
      <x:c r="N199" s="22" t="str">
        <x:v>None</x:v>
      </x:c>
      <x:c r="O199" s="22" t="str">
        <x:v>No</x:v>
      </x:c>
      <x:c r="P199" s="22" t="str">
        <x:v>No</x:v>
      </x:c>
      <x:c r="Q199" s="22" t="str">
        <x:v>Not applicable</x:v>
      </x:c>
      <x:c r="R199" s="22" t="str">
        <x:v>Not applicable</x:v>
      </x:c>
      <x:c r="S199" s="22" t="str">
        <x:v>No</x:v>
      </x:c>
      <x:c r="T199" s="22" t="str">
        <x:v>No</x:v>
      </x:c>
      <x:c r="U199" s="22" t="str">
        <x:v>No</x:v>
      </x:c>
      <x:c r="V199" s="22" t="str">
        <x:v>nausea</x:v>
      </x:c>
      <x:c r="W199" s="22" t="str">
        <x:v>No</x:v>
      </x:c>
      <x:c r="X199" s="22" t="str">
        <x:v>Uncertain</x:v>
      </x:c>
      <x:c r="Y199" s="22" t="n">
        <x:v>59.7</x:v>
      </x:c>
      <x:c r="Z199" s="22" t="str">
        <x:v>NICE-UNSUPPORTED-001</x:v>
      </x:c>
      <x:c r="AA199" s="22" t="str">
        <x:v>No definitive NICE-only management</x:v>
      </x:c>
      <x:c r="AB199" s="22" t="str">
        <x:v>Clinical review required</x:v>
      </x:c>
      <x:c r="AC199" s="22" t="str">
        <x:v>No definitive NICE-only management output</x:v>
      </x:c>
      <x:c r="AD199" s="22" t="str">
        <x:v>Do not generate treatment instructions. Display that an approved local protocol or specialist review is required.</x:v>
      </x:c>
      <x:c r="AE199" s="22" t="str">
        <x:v>This is a safety rule, not a treatment recommendation.</x:v>
      </x:c>
      <x:c r="AF199" s="22" t="str"/>
      <x:c r="AG199" s="22" t="str"/>
      <x:c r="AH199" s="22" t="str">
        <x:v>Hyponatraemia adult IV-fluid-related guideline systematic review clinical review</x:v>
      </x:c>
      <x:c r="AI199" s="22" t="str">
        <x:v>test</x:v>
      </x:c>
      <x:c r="AJ199" s="22" t="str">
        <x:v>Yes</x:v>
      </x:c>
      <x:c r="AK199" s="22" t="str">
        <x:v>Pending</x:v>
      </x:c>
    </x:row>
    <x:row r="200">
      <x:c r="A200" t="str">
        <x:v>CASE-0059</x:v>
      </x:c>
      <x:c r="B200" s="22" t="str">
        <x:v>45-year-old female with hyponatraemia. Sodium is 125.6 mmol/L; baseline is 136.0 mmol/L. Context: IV-fluid-related. Symptoms: headache. IV fluids: Yes; CKD stage: None; heart failure: No; AKI: No; dialysis: No; eGFR: 56.9 mL/min/1.73m².</x:v>
      </x:c>
      <x:c r="C200" t="n">
        <x:v>45</x:v>
      </x:c>
      <x:c r="D200" t="str">
        <x:v>Female</x:v>
      </x:c>
      <x:c r="E200" t="str">
        <x:v>Not pregnant</x:v>
      </x:c>
      <x:c r="F200" t="str">
        <x:v>Sodium</x:v>
      </x:c>
      <x:c r="G200" t="str">
        <x:v>Hyponatraemia</x:v>
      </x:c>
      <x:c r="H200" t="n">
        <x:v>125.6</x:v>
      </x:c>
      <x:c r="I200" t="str">
        <x:v>mmol/L</x:v>
      </x:c>
      <x:c r="J200" s="22" t="str">
        <x:v>IV-fluid-related</x:v>
      </x:c>
      <x:c r="K200" s="22" t="str">
        <x:v>Yes</x:v>
      </x:c>
      <x:c r="L200" s="22" t="str">
        <x:v>No</x:v>
      </x:c>
      <x:c r="M200" s="22" t="n">
        <x:v>136</x:v>
      </x:c>
      <x:c r="N200" s="22" t="str">
        <x:v>None</x:v>
      </x:c>
      <x:c r="O200" s="22" t="str">
        <x:v>No</x:v>
      </x:c>
      <x:c r="P200" s="22" t="str">
        <x:v>No</x:v>
      </x:c>
      <x:c r="Q200" s="22" t="str">
        <x:v>Not applicable</x:v>
      </x:c>
      <x:c r="R200" s="22" t="str">
        <x:v>Not applicable</x:v>
      </x:c>
      <x:c r="S200" s="22" t="str">
        <x:v>No</x:v>
      </x:c>
      <x:c r="T200" s="22" t="str">
        <x:v>No</x:v>
      </x:c>
      <x:c r="U200" s="22" t="str">
        <x:v>No</x:v>
      </x:c>
      <x:c r="V200" s="22" t="str">
        <x:v>headache</x:v>
      </x:c>
      <x:c r="W200" s="22" t="str">
        <x:v>No</x:v>
      </x:c>
      <x:c r="X200" s="22" t="str">
        <x:v>Euvolaemic</x:v>
      </x:c>
      <x:c r="Y200" s="22" t="n">
        <x:v>56.9</x:v>
      </x:c>
      <x:c r="Z200" s="22" t="str">
        <x:v>NICE-NA-HYPO-IV-001</x:v>
      </x:c>
      <x:c r="AA200" s="22" t="str">
        <x:v>NICE detection / reassessment / escalation</x:v>
      </x:c>
      <x:c r="AB200" s="22" t="str">
        <x:v>Urgent review</x:v>
      </x:c>
      <x:c r="AC200" s="22" t="str">
        <x:v>NICE detection, reassessment and escalation</x:v>
      </x:c>
      <x:c r="AD200" s="22" t="str">
        <x:v>Treat as possible IV-fluid mismanagement: reassess the fluid prescription and monitoring plan, and seek expert help for a complex imbalance.</x:v>
      </x:c>
      <x:c r="AE200" s="22" t="str">
        <x:v>No definitive sodium-correction regimen is provided by CG174.</x:v>
      </x:c>
      <x:c r="AF200" s="22" t="str">
        <x:v>NICE-CG174</x:v>
      </x:c>
      <x:c r="AG200" s="22" t="str">
        <x:v>1.2.4, 1.5.1, 1.5.2, Table 1</x:v>
      </x:c>
      <x:c r="AH200" s="22" t="str">
        <x:v>Hyponatraemia adult IV-fluid-related guideline systematic review clinical review</x:v>
      </x:c>
      <x:c r="AI200" s="22" t="str">
        <x:v>test</x:v>
      </x:c>
      <x:c r="AJ200" s="22" t="str">
        <x:v>Yes</x:v>
      </x:c>
      <x:c r="AK200" s="22" t="str">
        <x:v>Pending</x:v>
      </x:c>
    </x:row>
    <x:row r="201">
      <x:c r="A201" t="str">
        <x:v>CASE-0560</x:v>
      </x:c>
      <x:c r="B201" s="22" t="str">
        <x:v>26-year-old male with hypercalcaemia. Adjusted calcium is 3.02 mmol/L; baseline is 3.7 mmol/L. Context: Confirmed primary hyperparathyroidism. Symptoms: confusion. IV fluids: No; CKD stage: None; heart failure: No; AKI: No; dialysis: No; eGFR: 78.3 mL/min/1.73m².</x:v>
      </x:c>
      <x:c r="C201" t="n">
        <x:v>26</x:v>
      </x:c>
      <x:c r="D201" t="str">
        <x:v>Male</x:v>
      </x:c>
      <x:c r="E201" t="str">
        <x:v>Not applicable</x:v>
      </x:c>
      <x:c r="F201" t="str">
        <x:v>Adjusted calcium</x:v>
      </x:c>
      <x:c r="G201" t="str">
        <x:v>Hypercalcaemia</x:v>
      </x:c>
      <x:c r="H201" t="n">
        <x:v>3.02</x:v>
      </x:c>
      <x:c r="I201" t="str">
        <x:v>mmol/L</x:v>
      </x:c>
      <x:c r="J201" s="22" t="str">
        <x:v>Confirmed primary hyperparathyroidism</x:v>
      </x:c>
      <x:c r="K201" s="22" t="str">
        <x:v>No</x:v>
      </x:c>
      <x:c r="L201" s="22" t="str">
        <x:v>No</x:v>
      </x:c>
      <x:c r="M201" s="22" t="n">
        <x:v>3.7</x:v>
      </x:c>
      <x:c r="N201" s="22" t="str">
        <x:v>None</x:v>
      </x:c>
      <x:c r="O201" s="22" t="str">
        <x:v>No</x:v>
      </x:c>
      <x:c r="P201" s="22" t="str">
        <x:v>No</x:v>
      </x:c>
      <x:c r="Q201" s="22" t="str">
        <x:v>Not applicable</x:v>
      </x:c>
      <x:c r="R201" s="22" t="str">
        <x:v>Not applicable</x:v>
      </x:c>
      <x:c r="S201" s="22" t="str">
        <x:v>No</x:v>
      </x:c>
      <x:c r="T201" s="22" t="str">
        <x:v>Yes</x:v>
      </x:c>
      <x:c r="U201" s="22" t="str">
        <x:v>No</x:v>
      </x:c>
      <x:c r="V201" s="22" t="str">
        <x:v>confusion</x:v>
      </x:c>
      <x:c r="W201" s="22" t="str">
        <x:v>No</x:v>
      </x:c>
      <x:c r="X201" s="22" t="str">
        <x:v>Uncertain</x:v>
      </x:c>
      <x:c r="Y201" s="22" t="n">
        <x:v>78.3</x:v>
      </x:c>
      <x:c r="Z201" s="22" t="str">
        <x:v>NICE-CA-PHPT-REFER-001</x:v>
      </x:c>
      <x:c r="AA201" s="22" t="str">
        <x:v>Specific context-based NICE guidance</x:v>
      </x:c>
      <x:c r="AB201" s="22" t="str">
        <x:v>Specialist surgical referral</x:v>
      </x:c>
      <x:c r="AC201" s="22" t="str">
        <x:v>Specific NICE referral guidance</x:v>
      </x:c>
      <x:c r="AD201" s="22" t="str">
        <x:v>Refer to a surgeon with expertise in parathyroid surgery when one or more stated NICE criteria are present.</x:v>
      </x:c>
      <x:c r="AE201" s="22" t="str">
        <x:v>Applies only to confirmed primary hyperparathyroidism.</x:v>
      </x:c>
      <x:c r="AF201" s="22" t="str">
        <x:v>NICE-NG132</x:v>
      </x:c>
      <x:c r="AG201" s="22" t="str">
        <x:v>1.3.1 and 1.3.2</x:v>
      </x:c>
      <x:c r="AH201" s="22" t="str">
        <x:v>Hypercalcaemia adult Confirmed primary hyperparathyroidism guideline systematic review clinical review</x:v>
      </x:c>
      <x:c r="AI201" s="22" t="str">
        <x:v>train</x:v>
      </x:c>
      <x:c r="AJ201" s="22" t="str">
        <x:v>Yes</x:v>
      </x:c>
      <x:c r="AK201" s="22" t="str">
        <x:v>Pending</x:v>
      </x:c>
    </x:row>
  </x:sheetData>
  <x:conditionalFormatting sqref="AC2:AC201">
    <x:cfRule type="expression" dxfId="3" priority="1">
      <x:formula>ISNUMBER(SEARCH("No definitive",AC2))</x:formula>
    </x:cfRule>
    <x:cfRule type="expression" dxfId="4" priority="2">
      <x:formula>ISNUMBER(SEARCH("Specific",AC2))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0" hidden="0" customWidth="1"/>
    <x:col min="3" max="3" width="54" hidden="0" customWidth="1"/>
    <x:col min="4" max="4" width="28" hidden="0" customWidth="1"/>
    <x:col min="5" max="5" width="40" hidden="0" customWidth="1"/>
    <x:col min="6" max="6" width="54" hidden="0" customWidth="1"/>
    <x:col min="7" max="7" width="14" hidden="0" customWidth="1"/>
    <x:col min="8" max="8" width="42" hidden="0" customWidth="1"/>
    <x:col min="9" max="9" width="16" hidden="0" customWidth="1"/>
  </x:cols>
  <x:sheetData>
    <x:row r="1" ht="30" customHeight="1">
      <x:c r="A1" s="12" t="str">
        <x:v>test_id</x:v>
      </x:c>
      <x:c r="B1" s="12" t="str">
        <x:v>scenario</x:v>
      </x:c>
      <x:c r="C1" s="12" t="str">
        <x:v>input_summary</x:v>
      </x:c>
      <x:c r="D1" s="12" t="str">
        <x:v>expected_rule_id</x:v>
      </x:c>
      <x:c r="E1" s="12" t="str">
        <x:v>expected_output_status</x:v>
      </x:c>
      <x:c r="F1" s="12" t="str">
        <x:v>expected_behaviour</x:v>
      </x:c>
      <x:c r="G1" s="12" t="str">
        <x:v>actual_status</x:v>
      </x:c>
      <x:c r="H1" s="12" t="str">
        <x:v>actual_result</x:v>
      </x:c>
      <x:c r="I1" s="12" t="str">
        <x:v>review_status</x:v>
      </x:c>
    </x:row>
    <x:row r="2">
      <x:c r="A2" t="str">
        <x:v>BT-001</x:v>
      </x:c>
      <x:c r="B2" s="22" t="str">
        <x:v>IV-fluid hyponatraemia</x:v>
      </x:c>
      <x:c r="C2" s="22" t="str">
        <x:v>Na 129.9; IV fluids; no alternative cause</x:v>
      </x:c>
      <x:c r="D2" s="22" t="str">
        <x:v>NICE-NA-HYPO-IV-001</x:v>
      </x:c>
      <x:c r="E2" s="22" t="str">
        <x:v>NICE detection, reassessment and escalation</x:v>
      </x:c>
      <x:c r="F2" s="22" t="str">
        <x:v>Trigger urgent reassessment; no correction dose.</x:v>
      </x:c>
      <x:c r="G2" s="22" t="str">
        <x:v>Not run</x:v>
      </x:c>
      <x:c r="H2" s="22" t="str"/>
      <x:c r="I2" s="22" t="str">
        <x:v>Pending</x:v>
      </x:c>
    </x:row>
    <x:row r="3">
      <x:c r="A3" t="str">
        <x:v>BT-002</x:v>
      </x:c>
      <x:c r="B3" s="22" t="str">
        <x:v>IV-fluid hyponatraemia boundary</x:v>
      </x:c>
      <x:c r="C3" s="22" t="str">
        <x:v>Na 130.0; IV fluids</x:v>
      </x:c>
      <x:c r="D3" s="22" t="str">
        <x:v>NICE-UNSUPPORTED-001</x:v>
      </x:c>
      <x:c r="E3" s="22" t="str">
        <x:v>No definitive NICE-only management output</x:v>
      </x:c>
      <x:c r="F3" s="22" t="str">
        <x:v>Do not apply the CG174 critical-incident threshold.</x:v>
      </x:c>
      <x:c r="G3" s="22" t="str">
        <x:v>Not run</x:v>
      </x:c>
      <x:c r="H3" s="22" t="str"/>
      <x:c r="I3" s="22" t="str">
        <x:v>Pending</x:v>
      </x:c>
    </x:row>
    <x:row r="4">
      <x:c r="A4" t="str">
        <x:v>BT-003</x:v>
      </x:c>
      <x:c r="B4" s="22" t="str">
        <x:v>IV-fluid hypernatraemia</x:v>
      </x:c>
      <x:c r="C4" s="22" t="str">
        <x:v>Na 155; baseline normal; 0.9% saline; no alternative cause</x:v>
      </x:c>
      <x:c r="D4" s="22" t="str">
        <x:v>NICE-NA-HYPER-IV-001</x:v>
      </x:c>
      <x:c r="E4" s="22" t="str">
        <x:v>NICE detection, reassessment and escalation</x:v>
      </x:c>
      <x:c r="F4" s="22" t="str">
        <x:v>Trigger reassessment and expert help.</x:v>
      </x:c>
      <x:c r="G4" s="22" t="str">
        <x:v>Not run</x:v>
      </x:c>
      <x:c r="H4" s="22" t="str"/>
      <x:c r="I4" s="22" t="str">
        <x:v>Pending</x:v>
      </x:c>
    </x:row>
    <x:row r="5">
      <x:c r="A5" t="str">
        <x:v>BT-004</x:v>
      </x:c>
      <x:c r="B5" s="22" t="str">
        <x:v>IV-fluid hypokalaemia</x:v>
      </x:c>
      <x:c r="C5" s="22" t="str">
        <x:v>K 2.99; IV fluids; likely inadequate potassium provision</x:v>
      </x:c>
      <x:c r="D5" s="22" t="str">
        <x:v>NICE-K-HYPO-IV-001</x:v>
      </x:c>
      <x:c r="E5" s="22" t="str">
        <x:v>NICE detection and IV-plan reassessment</x:v>
      </x:c>
      <x:c r="F5" s="22" t="str">
        <x:v>Trigger reassessment; no replacement dose.</x:v>
      </x:c>
      <x:c r="G5" s="22" t="str">
        <x:v>Not run</x:v>
      </x:c>
      <x:c r="H5" s="22" t="str"/>
      <x:c r="I5" s="22" t="str">
        <x:v>Pending</x:v>
      </x:c>
    </x:row>
    <x:row r="6">
      <x:c r="A6" t="str">
        <x:v>BT-005</x:v>
      </x:c>
      <x:c r="B6" s="22" t="str">
        <x:v>IV-fluid hypokalaemia boundary</x:v>
      </x:c>
      <x:c r="C6" s="22" t="str">
        <x:v>K 3.0; IV fluids</x:v>
      </x:c>
      <x:c r="D6" s="22" t="str">
        <x:v>NICE-UNSUPPORTED-001</x:v>
      </x:c>
      <x:c r="E6" s="22" t="str">
        <x:v>No definitive NICE-only management output</x:v>
      </x:c>
      <x:c r="F6" s="22" t="str">
        <x:v>Do not apply the CG174 critical-incident threshold.</x:v>
      </x:c>
      <x:c r="G6" s="22" t="str">
        <x:v>Not run</x:v>
      </x:c>
      <x:c r="H6" s="22" t="str"/>
      <x:c r="I6" s="22" t="str">
        <x:v>Pending</x:v>
      </x:c>
    </x:row>
    <x:row r="7">
      <x:c r="A7" t="str">
        <x:v>BT-006</x:v>
      </x:c>
      <x:c r="B7" s="22" t="str">
        <x:v>IV-fluid hyperkalaemia</x:v>
      </x:c>
      <x:c r="C7" s="22" t="str">
        <x:v>K 5.6; IV fluids; no other cause</x:v>
      </x:c>
      <x:c r="D7" s="22" t="str">
        <x:v>NICE-K-HYPER-IV-001</x:v>
      </x:c>
      <x:c r="E7" s="22" t="str">
        <x:v>NICE detection and IV-plan reassessment</x:v>
      </x:c>
      <x:c r="F7" s="22" t="str">
        <x:v>Trigger reassessment; do not invent emergency treatment.</x:v>
      </x:c>
      <x:c r="G7" s="22" t="str">
        <x:v>Not run</x:v>
      </x:c>
      <x:c r="H7" s="22" t="str"/>
      <x:c r="I7" s="22" t="str">
        <x:v>Pending</x:v>
      </x:c>
    </x:row>
    <x:row r="8">
      <x:c r="A8" t="str">
        <x:v>BT-007</x:v>
      </x:c>
      <x:c r="B8" s="22" t="str">
        <x:v>CKD pretreatment potassium</x:v>
      </x:c>
      <x:c r="C8" s="22" t="str">
        <x:v>CKD; planned RAAS antagonist; K 5.1</x:v>
      </x:c>
      <x:c r="D8" s="22" t="str">
        <x:v>NICE-K-CKD-PRETREAT-001</x:v>
      </x:c>
      <x:c r="E8" s="22" t="str">
        <x:v>Specific NICE medication guidance</x:v>
      </x:c>
      <x:c r="F8" s="22" t="str">
        <x:v>Flag do-not-routinely-offer recommendation.</x:v>
      </x:c>
      <x:c r="G8" s="22" t="str">
        <x:v>Not run</x:v>
      </x:c>
      <x:c r="H8" s="22" t="str"/>
      <x:c r="I8" s="22" t="str">
        <x:v>Pending</x:v>
      </x:c>
    </x:row>
    <x:row r="9">
      <x:c r="A9" t="str">
        <x:v>BT-008</x:v>
      </x:c>
      <x:c r="B9" s="22" t="str">
        <x:v>CKD RAAS stop</x:v>
      </x:c>
      <x:c r="C9" s="22" t="str">
        <x:v>CKD; taking RAAS antagonist; K 6.0; other promoting medicines stopped</x:v>
      </x:c>
      <x:c r="D9" s="22" t="str">
        <x:v>NICE-K-CKD-STOP-001</x:v>
      </x:c>
      <x:c r="E9" s="22" t="str">
        <x:v>Specific NICE medication guidance</x:v>
      </x:c>
      <x:c r="F9" s="22" t="str">
        <x:v>Flag stop recommendation.</x:v>
      </x:c>
      <x:c r="G9" s="22" t="str">
        <x:v>Not run</x:v>
      </x:c>
      <x:c r="H9" s="22" t="str"/>
      <x:c r="I9" s="22" t="str">
        <x:v>Pending</x:v>
      </x:c>
    </x:row>
    <x:row r="10">
      <x:c r="A10" t="str">
        <x:v>BT-009</x:v>
      </x:c>
      <x:c r="B10" s="22" t="str">
        <x:v>SZC eligible</x:v>
      </x:c>
      <x:c r="C10" s="22" t="str">
        <x:v>CKD 4; K 5.5; not optimised RAASi due to hyperkalaemia; not dialysis</x:v>
      </x:c>
      <x:c r="D10" s="22" t="str">
        <x:v>NICE-K-SZC-ELIG-001</x:v>
      </x:c>
      <x:c r="E10" s="22" t="str">
        <x:v>NICE medicine eligibility flag</x:v>
      </x:c>
      <x:c r="F10" s="22" t="str">
        <x:v>Flag eligibility only; no dose.</x:v>
      </x:c>
      <x:c r="G10" s="22" t="str">
        <x:v>Not run</x:v>
      </x:c>
      <x:c r="H10" s="22" t="str"/>
      <x:c r="I10" s="22" t="str">
        <x:v>Pending</x:v>
      </x:c>
    </x:row>
    <x:row r="11">
      <x:c r="A11" t="str">
        <x:v>BT-010</x:v>
      </x:c>
      <x:c r="B11" s="22" t="str">
        <x:v>SZC dialysis exclusion</x:v>
      </x:c>
      <x:c r="C11" s="22" t="str">
        <x:v>CKD 5; K 5.8; dialysis yes</x:v>
      </x:c>
      <x:c r="D11" s="22" t="str">
        <x:v>NICE-UNSUPPORTED-001</x:v>
      </x:c>
      <x:c r="E11" s="22" t="str">
        <x:v>No definitive NICE-only management output</x:v>
      </x:c>
      <x:c r="F11" s="22" t="str">
        <x:v>Do not flag TA1148 persistent-hyperkalaemia eligibility.</x:v>
      </x:c>
      <x:c r="G11" s="22" t="str">
        <x:v>Not run</x:v>
      </x:c>
      <x:c r="H11" s="22" t="str"/>
      <x:c r="I11" s="22" t="str">
        <x:v>Pending</x:v>
      </x:c>
    </x:row>
    <x:row r="12">
      <x:c r="A12" t="str">
        <x:v>BT-011</x:v>
      </x:c>
      <x:c r="B12" s="22" t="str">
        <x:v>Patiromer eligible</x:v>
      </x:c>
      <x:c r="C12" s="22" t="str">
        <x:v>CKD 4; K 6.0; RAASi reduced due to hyperkalaemia; not dialysis</x:v>
      </x:c>
      <x:c r="D12" s="22" t="str">
        <x:v>NICE-K-PATIROMER-ELIG-001</x:v>
      </x:c>
      <x:c r="E12" s="22" t="str">
        <x:v>NICE medicine eligibility flag</x:v>
      </x:c>
      <x:c r="F12" s="22" t="str">
        <x:v>Flag eligibility only; no dose.</x:v>
      </x:c>
      <x:c r="G12" s="22" t="str">
        <x:v>Not run</x:v>
      </x:c>
      <x:c r="H12" s="22" t="str"/>
      <x:c r="I12" s="22" t="str">
        <x:v>Pending</x:v>
      </x:c>
    </x:row>
    <x:row r="13">
      <x:c r="A13" t="str">
        <x:v>BT-012</x:v>
      </x:c>
      <x:c r="B13" s="22" t="str">
        <x:v>AKI unresponsive hyperkalaemia</x:v>
      </x:c>
      <x:c r="C13" s="22" t="str">
        <x:v>AKI; hyperkalaemia not responding to medical management</x:v>
      </x:c>
      <x:c r="D13" s="22" t="str">
        <x:v>NICE-K-AKI-RRT-001</x:v>
      </x:c>
      <x:c r="E13" s="22" t="str">
        <x:v>Specific NICE escalation guidance</x:v>
      </x:c>
      <x:c r="F13" s="22" t="str">
        <x:v>Immediate nephrology/critical-care referral.</x:v>
      </x:c>
      <x:c r="G13" s="22" t="str">
        <x:v>Not run</x:v>
      </x:c>
      <x:c r="H13" s="22" t="str"/>
      <x:c r="I13" s="22" t="str">
        <x:v>Pending</x:v>
      </x:c>
    </x:row>
    <x:row r="14">
      <x:c r="A14" t="str">
        <x:v>BT-013</x:v>
      </x:c>
      <x:c r="B14" s="22" t="str">
        <x:v>PHPT referral calcium</x:v>
      </x:c>
      <x:c r="C14" s="22" t="str">
        <x:v>Confirmed PHPT; adjusted calcium 2.85</x:v>
      </x:c>
      <x:c r="D14" s="22" t="str">
        <x:v>NICE-CA-PHPT-REFER-001</x:v>
      </x:c>
      <x:c r="E14" s="22" t="str">
        <x:v>Specific NICE referral guidance</x:v>
      </x:c>
      <x:c r="F14" s="22" t="str">
        <x:v>Flag surgical referral criterion.</x:v>
      </x:c>
      <x:c r="G14" s="22" t="str">
        <x:v>Not run</x:v>
      </x:c>
      <x:c r="H14" s="22" t="str"/>
      <x:c r="I14" s="22" t="str">
        <x:v>Pending</x:v>
      </x:c>
    </x:row>
    <x:row r="15">
      <x:c r="A15" t="str">
        <x:v>BT-014</x:v>
      </x:c>
      <x:c r="B15" s="22" t="str">
        <x:v>General acute hypercalcaemia</x:v>
      </x:c>
      <x:c r="C15" s="22" t="str">
        <x:v>Calcium 3.2; PHPT not confirmed</x:v>
      </x:c>
      <x:c r="D15" s="22" t="str">
        <x:v>NICE-UNSUPPORTED-001</x:v>
      </x:c>
      <x:c r="E15" s="22" t="str">
        <x:v>No definitive NICE-only management output</x:v>
      </x:c>
      <x:c r="F15" s="22" t="str">
        <x:v>Require specialist/local protocol.</x:v>
      </x:c>
      <x:c r="G15" s="22" t="str">
        <x:v>Not run</x:v>
      </x:c>
      <x:c r="H15" s="22" t="str"/>
      <x:c r="I15" s="22" t="str">
        <x:v>Pending</x:v>
      </x:c>
    </x:row>
    <x:row r="16">
      <x:c r="A16" t="str">
        <x:v>BT-015</x:v>
      </x:c>
      <x:c r="B16" s="22" t="str">
        <x:v>Hypocalcaemia</x:v>
      </x:c>
      <x:c r="C16" s="22" t="str">
        <x:v>Adjusted calcium 1.7</x:v>
      </x:c>
      <x:c r="D16" s="22" t="str">
        <x:v>NICE-UNSUPPORTED-001</x:v>
      </x:c>
      <x:c r="E16" s="22" t="str">
        <x:v>No definitive NICE-only management output</x:v>
      </x:c>
      <x:c r="F16" s="22" t="str">
        <x:v>Do not invent a NICE treatment pathway.</x:v>
      </x:c>
      <x:c r="G16" s="22" t="str">
        <x:v>Not run</x:v>
      </x:c>
      <x:c r="H16" s="22" t="str"/>
      <x:c r="I16" s="22" t="str">
        <x:v>Pending</x:v>
      </x:c>
    </x:row>
    <x:row r="17">
      <x:c r="A17" t="str">
        <x:v>BT-016</x:v>
      </x:c>
      <x:c r="B17" s="22" t="str">
        <x:v>Hypomagnesaemia</x:v>
      </x:c>
      <x:c r="C17" s="22" t="str">
        <x:v>Magnesium 0.4</x:v>
      </x:c>
      <x:c r="D17" s="22" t="str">
        <x:v>NICE-UNSUPPORTED-001</x:v>
      </x:c>
      <x:c r="E17" s="22" t="str">
        <x:v>No definitive NICE-only management output</x:v>
      </x:c>
      <x:c r="F17" s="22" t="str">
        <x:v>Do not invent a NICE treatment pathway.</x:v>
      </x:c>
      <x:c r="G17" s="22" t="str">
        <x:v>Not run</x:v>
      </x:c>
      <x:c r="H17" s="22" t="str"/>
      <x:c r="I17" s="22" t="str">
        <x:v>Pending</x:v>
      </x:c>
    </x:row>
    <x:row r="18">
      <x:c r="A18" t="str">
        <x:v>BT-017</x:v>
      </x:c>
      <x:c r="B18" s="22" t="str">
        <x:v>Missing value</x:v>
      </x:c>
      <x:c r="C18" s="22" t="str">
        <x:v>Electrolyte value missing</x:v>
      </x:c>
      <x:c r="D18" s="22" t="str">
        <x:v>VALIDATION-MISSING</x:v>
      </x:c>
      <x:c r="E18" s="22" t="str">
        <x:v>Input validation failure</x:v>
      </x:c>
      <x:c r="F18" s="22" t="str">
        <x:v>Block recommendation generation.</x:v>
      </x:c>
      <x:c r="G18" s="22" t="str">
        <x:v>Not run</x:v>
      </x:c>
      <x:c r="H18" s="22" t="str"/>
      <x:c r="I18" s="22" t="str">
        <x:v>Pending</x:v>
      </x:c>
    </x:row>
    <x:row r="19">
      <x:c r="A19" t="str">
        <x:v>BT-018</x:v>
      </x:c>
      <x:c r="B19" s="22" t="str">
        <x:v>Wrong unit</x:v>
      </x:c>
      <x:c r="C19" s="22" t="str">
        <x:v>Potassium supplied in an unsupported unit</x:v>
      </x:c>
      <x:c r="D19" s="22" t="str">
        <x:v>VALIDATION-UNIT</x:v>
      </x:c>
      <x:c r="E19" s="22" t="str">
        <x:v>Input validation failure</x:v>
      </x:c>
      <x:c r="F19" s="22" t="str">
        <x:v>Reject or explicitly convert before rule evaluation.</x:v>
      </x:c>
      <x:c r="G19" s="22" t="str">
        <x:v>Not run</x:v>
      </x:c>
      <x:c r="H19" s="22" t="str"/>
      <x:c r="I19" s="22" t="str">
        <x:v>Pending</x:v>
      </x:c>
    </x:row>
    <x:row r="20">
      <x:c r="A20" t="str">
        <x:v>BT-019</x:v>
      </x:c>
      <x:c r="B20" s="22" t="str">
        <x:v>Pregnancy scope</x:v>
      </x:c>
      <x:c r="C20" s="22" t="str">
        <x:v>Pregnant patient with hyponatraemia</x:v>
      </x:c>
      <x:c r="D20" s="22" t="str">
        <x:v>SCOPE-PREGNANCY</x:v>
      </x:c>
      <x:c r="E20" s="22" t="str">
        <x:v>Out of adult-general MVP scope</x:v>
      </x:c>
      <x:c r="F20" s="22" t="str">
        <x:v>Route to pregnancy-specific NICE logic or specialist pathway.</x:v>
      </x:c>
      <x:c r="G20" s="22" t="str">
        <x:v>Not run</x:v>
      </x:c>
      <x:c r="H20" s="22" t="str"/>
      <x:c r="I20" s="22" t="str">
        <x:v>Pending</x:v>
      </x:c>
    </x:row>
  </x:sheetData>
  <x:dataValidations count="2">
    <x:dataValidation type="list" sqref="G2:G20">
      <x:formula1>"Not run,Pass,Fail,Blocked"</x:formula1>
    </x:dataValidation>
    <x:dataValidation type="list" sqref="I2:I20">
      <x:formula1>"Pending,Approved,Rejected,Needs changes"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56" hidden="0" customWidth="1"/>
    <x:col min="4" max="4" width="24" hidden="0" customWidth="1"/>
    <x:col min="5" max="5" width="34" hidden="0" customWidth="1"/>
    <x:col min="6" max="6" width="42" hidden="0" customWidth="1"/>
    <x:col min="7" max="7" width="42" hidden="0" customWidth="1"/>
    <x:col min="8" max="8" width="34" hidden="0" customWidth="1"/>
    <x:col min="9" max="9" width="55" hidden="0" customWidth="1"/>
    <x:col min="10" max="10" width="12" hidden="0" customWidth="1"/>
  </x:cols>
  <x:sheetData>
    <x:row r="1" ht="30" customHeight="1">
      <x:c r="A1" s="12" t="str">
        <x:v>condition</x:v>
      </x:c>
      <x:c r="B1" s="12" t="str">
        <x:v>primary_management_source</x:v>
      </x:c>
      <x:c r="C1" s="12" t="str">
        <x:v>primary_source_policy</x:v>
      </x:c>
      <x:c r="D1" s="12" t="str">
        <x:v>secondary_sources</x:v>
      </x:c>
      <x:c r="E1" s="12" t="str">
        <x:v>secondary_source_label</x:v>
      </x:c>
      <x:c r="F1" s="12" t="str">
        <x:v>secondary_source_effect</x:v>
      </x:c>
      <x:c r="G1" s="12" t="str">
        <x:v>preferred_publication_types</x:v>
      </x:c>
      <x:c r="H1" s="12" t="str">
        <x:v>excluded_publication_types</x:v>
      </x:c>
      <x:c r="I1" s="12" t="str">
        <x:v>default_query</x:v>
      </x:c>
      <x:c r="J1" s="12" t="str">
        <x:v>result_limit</x:v>
      </x:c>
      <x:c r="K1" t="str">
        <x:v>cache_days</x:v>
      </x:c>
    </x:row>
    <x:row r="2">
      <x:c r="A2" t="str">
        <x:v>Hyponatraemia</x:v>
      </x:c>
      <x:c r="B2" s="22" t="str">
        <x:v>NICE only</x:v>
      </x:c>
      <x:c r="C2" s="22" t="str">
        <x:v>Display the exact NICE guidance and recommendation section linked to the triggered rule.</x:v>
      </x:c>
      <x:c r="D2" s="22" t="str">
        <x:v>Europe PMC and PubMed</x:v>
      </x:c>
      <x:c r="E2" s="22" t="str">
        <x:v>Additional evidence and learning resources</x:v>
      </x:c>
      <x:c r="F2" s="22" t="str">
        <x:v>Must not alter the NICE-derived management result.</x:v>
      </x:c>
      <x:c r="G2" s="22" t="str">
        <x:v>Guideline; systematic review; meta-analysis; clinical review</x:v>
      </x:c>
      <x:c r="H2" s="22" t="str">
        <x:v>Case report; letter; editorial; comment</x:v>
      </x:c>
      <x:c r="I2" s="22" t="str">
        <x:v>Hyponatraemia adult guideline systematic review clinical review</x:v>
      </x:c>
      <x:c r="J2" s="22" t="n">
        <x:v>5</x:v>
      </x:c>
      <x:c r="K2" t="n">
        <x:v>7</x:v>
      </x:c>
    </x:row>
    <x:row r="3">
      <x:c r="A3" t="str">
        <x:v>Hypernatraemia</x:v>
      </x:c>
      <x:c r="B3" s="22" t="str">
        <x:v>NICE only</x:v>
      </x:c>
      <x:c r="C3" s="22" t="str">
        <x:v>Display the exact NICE guidance and recommendation section linked to the triggered rule.</x:v>
      </x:c>
      <x:c r="D3" s="22" t="str">
        <x:v>Europe PMC and PubMed</x:v>
      </x:c>
      <x:c r="E3" s="22" t="str">
        <x:v>Additional evidence and learning resources</x:v>
      </x:c>
      <x:c r="F3" s="22" t="str">
        <x:v>Must not alter the NICE-derived management result.</x:v>
      </x:c>
      <x:c r="G3" s="22" t="str">
        <x:v>Guideline; systematic review; meta-analysis; clinical review</x:v>
      </x:c>
      <x:c r="H3" s="22" t="str">
        <x:v>Case report; letter; editorial; comment</x:v>
      </x:c>
      <x:c r="I3" s="22" t="str">
        <x:v>Hypernatraemia adult guideline systematic review clinical review</x:v>
      </x:c>
      <x:c r="J3" s="22" t="n">
        <x:v>5</x:v>
      </x:c>
      <x:c r="K3" t="n">
        <x:v>7</x:v>
      </x:c>
    </x:row>
    <x:row r="4">
      <x:c r="A4" t="str">
        <x:v>Hypokalaemia</x:v>
      </x:c>
      <x:c r="B4" s="22" t="str">
        <x:v>NICE only</x:v>
      </x:c>
      <x:c r="C4" s="22" t="str">
        <x:v>Display the exact NICE guidance and recommendation section linked to the triggered rule.</x:v>
      </x:c>
      <x:c r="D4" s="22" t="str">
        <x:v>Europe PMC and PubMed</x:v>
      </x:c>
      <x:c r="E4" s="22" t="str">
        <x:v>Additional evidence and learning resources</x:v>
      </x:c>
      <x:c r="F4" s="22" t="str">
        <x:v>Must not alter the NICE-derived management result.</x:v>
      </x:c>
      <x:c r="G4" s="22" t="str">
        <x:v>Guideline; systematic review; meta-analysis; clinical review</x:v>
      </x:c>
      <x:c r="H4" s="22" t="str">
        <x:v>Case report; letter; editorial; comment</x:v>
      </x:c>
      <x:c r="I4" s="22" t="str">
        <x:v>Hypokalaemia adult guideline systematic review clinical review</x:v>
      </x:c>
      <x:c r="J4" s="22" t="n">
        <x:v>5</x:v>
      </x:c>
      <x:c r="K4" t="n">
        <x:v>7</x:v>
      </x:c>
    </x:row>
    <x:row r="5">
      <x:c r="A5" t="str">
        <x:v>Hyperkalaemia</x:v>
      </x:c>
      <x:c r="B5" s="22" t="str">
        <x:v>NICE only</x:v>
      </x:c>
      <x:c r="C5" s="22" t="str">
        <x:v>Display the exact NICE guidance and recommendation section linked to the triggered rule.</x:v>
      </x:c>
      <x:c r="D5" s="22" t="str">
        <x:v>Europe PMC and PubMed</x:v>
      </x:c>
      <x:c r="E5" s="22" t="str">
        <x:v>Additional evidence and learning resources</x:v>
      </x:c>
      <x:c r="F5" s="22" t="str">
        <x:v>Must not alter the NICE-derived management result.</x:v>
      </x:c>
      <x:c r="G5" s="22" t="str">
        <x:v>Guideline; systematic review; meta-analysis; clinical review</x:v>
      </x:c>
      <x:c r="H5" s="22" t="str">
        <x:v>Case report; letter; editorial; comment</x:v>
      </x:c>
      <x:c r="I5" s="22" t="str">
        <x:v>Hyperkalaemia adult guideline systematic review clinical review</x:v>
      </x:c>
      <x:c r="J5" s="22" t="n">
        <x:v>5</x:v>
      </x:c>
      <x:c r="K5" t="n">
        <x:v>7</x:v>
      </x:c>
    </x:row>
    <x:row r="6">
      <x:c r="A6" t="str">
        <x:v>Hypocalcaemia</x:v>
      </x:c>
      <x:c r="B6" s="22" t="str">
        <x:v>NICE only</x:v>
      </x:c>
      <x:c r="C6" s="22" t="str">
        <x:v>Display the exact NICE guidance and recommendation section linked to the triggered rule.</x:v>
      </x:c>
      <x:c r="D6" s="22" t="str">
        <x:v>Europe PMC and PubMed</x:v>
      </x:c>
      <x:c r="E6" s="22" t="str">
        <x:v>Additional evidence and learning resources</x:v>
      </x:c>
      <x:c r="F6" s="22" t="str">
        <x:v>Must not alter the NICE-derived management result.</x:v>
      </x:c>
      <x:c r="G6" s="22" t="str">
        <x:v>Guideline; systematic review; meta-analysis; clinical review</x:v>
      </x:c>
      <x:c r="H6" s="22" t="str">
        <x:v>Case report; letter; editorial; comment</x:v>
      </x:c>
      <x:c r="I6" s="22" t="str">
        <x:v>Hypocalcaemia adult guideline systematic review clinical review</x:v>
      </x:c>
      <x:c r="J6" s="22" t="n">
        <x:v>5</x:v>
      </x:c>
      <x:c r="K6" t="n">
        <x:v>7</x:v>
      </x:c>
    </x:row>
    <x:row r="7">
      <x:c r="A7" t="str">
        <x:v>Hypercalcaemia</x:v>
      </x:c>
      <x:c r="B7" s="22" t="str">
        <x:v>NICE only</x:v>
      </x:c>
      <x:c r="C7" s="22" t="str">
        <x:v>Display the exact NICE guidance and recommendation section linked to the triggered rule.</x:v>
      </x:c>
      <x:c r="D7" s="22" t="str">
        <x:v>Europe PMC and PubMed</x:v>
      </x:c>
      <x:c r="E7" s="22" t="str">
        <x:v>Additional evidence and learning resources</x:v>
      </x:c>
      <x:c r="F7" s="22" t="str">
        <x:v>Must not alter the NICE-derived management result.</x:v>
      </x:c>
      <x:c r="G7" s="22" t="str">
        <x:v>Guideline; systematic review; meta-analysis; clinical review</x:v>
      </x:c>
      <x:c r="H7" s="22" t="str">
        <x:v>Case report; letter; editorial; comment</x:v>
      </x:c>
      <x:c r="I7" s="22" t="str">
        <x:v>Hypercalcaemia adult guideline systematic review clinical review</x:v>
      </x:c>
      <x:c r="J7" s="22" t="n">
        <x:v>5</x:v>
      </x:c>
      <x:c r="K7" t="n">
        <x:v>7</x:v>
      </x:c>
    </x:row>
    <x:row r="8">
      <x:c r="A8" t="str">
        <x:v>Hypomagnesaemia</x:v>
      </x:c>
      <x:c r="B8" s="22" t="str">
        <x:v>NICE only</x:v>
      </x:c>
      <x:c r="C8" s="22" t="str">
        <x:v>Display the exact NICE guidance and recommendation section linked to the triggered rule.</x:v>
      </x:c>
      <x:c r="D8" s="22" t="str">
        <x:v>Europe PMC and PubMed</x:v>
      </x:c>
      <x:c r="E8" s="22" t="str">
        <x:v>Additional evidence and learning resources</x:v>
      </x:c>
      <x:c r="F8" s="22" t="str">
        <x:v>Must not alter the NICE-derived management result.</x:v>
      </x:c>
      <x:c r="G8" s="22" t="str">
        <x:v>Guideline; systematic review; meta-analysis; clinical review</x:v>
      </x:c>
      <x:c r="H8" s="22" t="str">
        <x:v>Case report; letter; editorial; comment</x:v>
      </x:c>
      <x:c r="I8" s="22" t="str">
        <x:v>Hypomagnesaemia adult guideline systematic review clinical review</x:v>
      </x:c>
      <x:c r="J8" s="22" t="n">
        <x:v>5</x:v>
      </x:c>
      <x:c r="K8" t="n">
        <x:v>7</x:v>
      </x:c>
    </x:row>
    <x:row r="9">
      <x:c r="A9" t="str">
        <x:v>Hypermagnesaemia</x:v>
      </x:c>
      <x:c r="B9" s="22" t="str">
        <x:v>NICE only</x:v>
      </x:c>
      <x:c r="C9" s="22" t="str">
        <x:v>Display the exact NICE guidance and recommendation section linked to the triggered rule.</x:v>
      </x:c>
      <x:c r="D9" s="22" t="str">
        <x:v>Europe PMC and PubMed</x:v>
      </x:c>
      <x:c r="E9" s="22" t="str">
        <x:v>Additional evidence and learning resources</x:v>
      </x:c>
      <x:c r="F9" s="22" t="str">
        <x:v>Must not alter the NICE-derived management result.</x:v>
      </x:c>
      <x:c r="G9" s="22" t="str">
        <x:v>Guideline; systematic review; meta-analysis; clinical review</x:v>
      </x:c>
      <x:c r="H9" s="22" t="str">
        <x:v>Case report; letter; editorial; comment</x:v>
      </x:c>
      <x:c r="I9" s="22" t="str">
        <x:v>Hypermagnesaemia adult guideline systematic review clinical review</x:v>
      </x:c>
      <x:c r="J9" s="22" t="n">
        <x:v>5</x:v>
      </x:c>
      <x:c r="K9" t="n">
        <x:v>7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0" hidden="0" customWidth="1"/>
    <x:col min="3" max="3" width="58" hidden="0" customWidth="1"/>
    <x:col min="4" max="4" width="36" hidden="0" customWidth="1"/>
    <x:col min="5" max="5" width="54" hidden="0" customWidth="1"/>
    <x:col min="6" max="6" width="36" hidden="0" customWidth="1"/>
    <x:col min="7" max="7" width="24" hidden="0" customWidth="1"/>
    <x:col min="8" max="8" width="16" hidden="0" customWidth="1"/>
  </x:cols>
  <x:sheetData>
    <x:row r="1" ht="30" customHeight="1">
      <x:c r="A1" s="12" t="str">
        <x:v>phase</x:v>
      </x:c>
      <x:c r="B1" s="12" t="str">
        <x:v>goal</x:v>
      </x:c>
      <x:c r="C1" s="12" t="str">
        <x:v>main_tasks</x:v>
      </x:c>
      <x:c r="D1" s="12" t="str">
        <x:v>deliverable</x:v>
      </x:c>
      <x:c r="E1" s="12" t="str">
        <x:v>acceptance_criteria</x:v>
      </x:c>
      <x:c r="F1" s="12" t="str">
        <x:v>recommended_free_tools</x:v>
      </x:c>
      <x:c r="G1" s="12" t="str">
        <x:v>dependency</x:v>
      </x:c>
      <x:c r="H1" s="12" t="str">
        <x:v>status</x:v>
      </x:c>
    </x:row>
    <x:row r="2">
      <x:c r="A2" t="str">
        <x:v>0. Governance and scope</x:v>
      </x:c>
      <x:c r="B2" s="22" t="str">
        <x:v>Define safe boundaries</x:v>
      </x:c>
      <x:c r="C2" s="22" t="str">
        <x:v>Confirm adult scope; nominate clinical reviewer; approve NICE-only policy; define prohibited AI outputs.</x:v>
      </x:c>
      <x:c r="D2" s="22" t="str">
        <x:v>Approved scope and safety checklist</x:v>
      </x:c>
      <x:c r="E2" s="22" t="str">
        <x:v>Every active rule has a NICE source; unsupported scenarios cannot generate treatment.</x:v>
      </x:c>
      <x:c r="F2" s="22" t="str">
        <x:v>Markdown, GitHub Issues</x:v>
      </x:c>
      <x:c r="G2" s="22" t="str">
        <x:v>None</x:v>
      </x:c>
      <x:c r="H2" s="22" t="str">
        <x:v>Not started</x:v>
      </x:c>
    </x:row>
    <x:row r="3">
      <x:c r="A3" t="str">
        <x:v>1. NICE evidence inventory</x:v>
      </x:c>
      <x:c r="B3" s="22" t="str">
        <x:v>Create a controlled knowledge base</x:v>
      </x:c>
      <x:c r="C3" s="22" t="str">
        <x:v>Capture guidance code, section, scope, exclusions, publication date and paraphrased output.</x:v>
      </x:c>
      <x:c r="D3" s="22" t="str">
        <x:v>Clinician-reviewed NICE source catalogue</x:v>
      </x:c>
      <x:c r="E3" s="22" t="str">
        <x:v>No non-NICE management source; replaced guidance is inactive.</x:v>
      </x:c>
      <x:c r="F3" s="22" t="str">
        <x:v>NICE website, CSV/JSON</x:v>
      </x:c>
      <x:c r="G3" s="22" t="str">
        <x:v>Phase 0</x:v>
      </x:c>
      <x:c r="H3" s="22" t="str">
        <x:v>Not started</x:v>
      </x:c>
    </x:row>
    <x:row r="4">
      <x:c r="A4" t="str">
        <x:v>2. Rule engine</x:v>
      </x:c>
      <x:c r="B4" s="22" t="str">
        <x:v>Implement deterministic logic</x:v>
      </x:c>
      <x:c r="C4" s="22" t="str">
        <x:v>Implement context-first rules; input validation; unsupported fallback; rule and source traceability.</x:v>
      </x:c>
      <x:c r="D4" s="22" t="str">
        <x:v>Tested TypeScript rule package</x:v>
      </x:c>
      <x:c r="E4" s="22" t="str">
        <x:v>All boundary tests pass; LLM cannot overwrite outputs.</x:v>
      </x:c>
      <x:c r="F4" s="22" t="str">
        <x:v>TypeScript, Zod, Vitest</x:v>
      </x:c>
      <x:c r="G4" s="22" t="str">
        <x:v>Phase 1</x:v>
      </x:c>
      <x:c r="H4" s="22" t="str">
        <x:v>Not started</x:v>
      </x:c>
    </x:row>
    <x:row r="5">
      <x:c r="A5" t="str">
        <x:v>3. AI extraction</x:v>
      </x:c>
      <x:c r="B5" s="22" t="str">
        <x:v>Convert notes into structured data</x:v>
      </x:c>
      <x:c r="C5" s="22" t="str">
        <x:v>Run Ollama locally; enforce JSON schema; require confirmation; never infer absent values.</x:v>
      </x:c>
      <x:c r="D5" s="22" t="str">
        <x:v>Local extraction service</x:v>
      </x:c>
      <x:c r="E5" s="22" t="str">
        <x:v>Held-out extraction accuracy accepted by project team; uncertain values remain unknown.</x:v>
      </x:c>
      <x:c r="F5" s="22" t="str">
        <x:v>Ollama, Qwen, Zod</x:v>
      </x:c>
      <x:c r="G5" s="22" t="str">
        <x:v>Phase 2</x:v>
      </x:c>
      <x:c r="H5" s="22" t="str">
        <x:v>Not started</x:v>
      </x:c>
    </x:row>
    <x:row r="6">
      <x:c r="A6" t="str">
        <x:v>4. Results UI</x:v>
      </x:c>
      <x:c r="B6" s="22" t="str">
        <x:v>Present safe, explainable output</x:v>
      </x:c>
      <x:c r="C6" s="22" t="str">
        <x:v>Priority banner; used information; NICE action; limitations; exact source; resources.</x:v>
      </x:c>
      <x:c r="D6" s="22" t="str">
        <x:v>Responsive result page</x:v>
      </x:c>
      <x:c r="E6" s="22" t="str">
        <x:v>NICE and additional articles are visually separated.</x:v>
      </x:c>
      <x:c r="F6" s="22" t="str">
        <x:v>Next.js, Tailwind, shadcn/ui</x:v>
      </x:c>
      <x:c r="G6" s="22" t="str">
        <x:v>Phases 2 and 3</x:v>
      </x:c>
      <x:c r="H6" s="22" t="str">
        <x:v>Not started</x:v>
      </x:c>
    </x:row>
    <x:row r="7">
      <x:c r="A7" t="str">
        <x:v>5. RAG and resources</x:v>
      </x:c>
      <x:c r="B7" s="22" t="str">
        <x:v>Explain and provide learning material</x:v>
      </x:c>
      <x:c r="C7" s="22" t="str">
        <x:v>Index approved NICE text; retrieve exact sections; search Europe PMC/PubMed; cache results.</x:v>
      </x:c>
      <x:c r="D7" s="22" t="str">
        <x:v>Cited explanation and article cards</x:v>
      </x:c>
      <x:c r="E7" s="22" t="str">
        <x:v>Article content cannot change management; summaries use supplied abstracts only.</x:v>
      </x:c>
      <x:c r="F7" s="22" t="str">
        <x:v>Supabase pgvector, Europe PMC, PubMed</x:v>
      </x:c>
      <x:c r="G7" s="22" t="str">
        <x:v>Phase 1</x:v>
      </x:c>
      <x:c r="H7" s="22" t="str">
        <x:v>Not started</x:v>
      </x:c>
    </x:row>
    <x:row r="8">
      <x:c r="A8" t="str">
        <x:v>6. Testing and review</x:v>
      </x:c>
      <x:c r="B8" s="22" t="str">
        <x:v>Validate software and clinical logic</x:v>
      </x:c>
      <x:c r="C8" s="22" t="str">
        <x:v>Unit, boundary, missing-input, prompt-injection, UI and clinical-review tests.</x:v>
      </x:c>
      <x:c r="D8" s="22" t="str">
        <x:v>Release test report</x:v>
      </x:c>
      <x:c r="E8" s="22" t="str">
        <x:v>100% safety tests pass and clinical reviewer signs off.</x:v>
      </x:c>
      <x:c r="F8" s="22" t="str">
        <x:v>Vitest, Playwright, GitHub Actions</x:v>
      </x:c>
      <x:c r="G8" s="22" t="str">
        <x:v>Phases 2–5</x:v>
      </x:c>
      <x:c r="H8" s="22" t="str">
        <x:v>Not started</x:v>
      </x:c>
    </x:row>
    <x:row r="9">
      <x:c r="A9" t="str">
        <x:v>7. Demo deployment</x:v>
      </x:c>
      <x:c r="B9" t="str">
        <x:v>Publish a portfolio-safe prototype</x:v>
      </x:c>
      <x:c r="C9" t="str">
        <x:v>Use synthetic data; remove identifiers; deploy frontend; document limitations.</x:v>
      </x:c>
      <x:c r="D9" t="str">
        <x:v>Public demonstration</x:v>
      </x:c>
      <x:c r="E9" t="str">
        <x:v>No real patient data; clear prototype disclaimer.</x:v>
      </x:c>
      <x:c r="F9" t="str">
        <x:v>Vercel, Supabase free tier</x:v>
      </x:c>
      <x:c r="G9" t="str">
        <x:v>Phase 6</x:v>
      </x:c>
      <x:c r="H9" t="str">
        <x:v>Not started</x:v>
      </x:c>
    </x:row>
  </x:sheetData>
  <x:dataValidations count="1">
    <x:dataValidation type="list" sqref="H2:H8">
      <x:formula1>"Not started,In progress,Blocked,Complete"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76" hidden="0" customWidth="1"/>
    <x:col min="4" max="4" width="20" hidden="0" customWidth="1"/>
    <x:col min="5" max="5" width="16" hidden="0" customWidth="1"/>
  </x:cols>
  <x:sheetData>
    <x:row r="1" ht="30" customHeight="1">
      <x:c r="A1" s="12" t="str">
        <x:v>criterion_id</x:v>
      </x:c>
      <x:c r="B1" s="12" t="str">
        <x:v>category</x:v>
      </x:c>
      <x:c r="C1" s="12" t="str">
        <x:v>criterion</x:v>
      </x:c>
      <x:c r="D1" s="12" t="str">
        <x:v>release_requirement</x:v>
      </x:c>
      <x:c r="E1" s="12" t="str">
        <x:v>status</x:v>
      </x:c>
    </x:row>
    <x:row r="2">
      <x:c r="A2" t="str">
        <x:v>AC-001</x:v>
      </x:c>
      <x:c r="B2" t="str">
        <x:v>Clinical source</x:v>
      </x:c>
      <x:c r="C2" s="22" t="str">
        <x:v>Every active management rule has a NICE guidance code and recommendation section.</x:v>
      </x:c>
      <x:c r="D2" s="22" t="str">
        <x:v>Must pass</x:v>
      </x:c>
      <x:c r="E2" s="22" t="str">
        <x:v>Pending</x:v>
      </x:c>
    </x:row>
    <x:row r="3">
      <x:c r="A3" t="str">
        <x:v>AC-002</x:v>
      </x:c>
      <x:c r="B3" t="str">
        <x:v>Unsupported scenario</x:v>
      </x:c>
      <x:c r="C3" s="22" t="str">
        <x:v>No unsupported condition generates treatment, dose or correction-rate instructions.</x:v>
      </x:c>
      <x:c r="D3" s="22" t="str">
        <x:v>Must pass</x:v>
      </x:c>
      <x:c r="E3" s="22" t="str">
        <x:v>Pending</x:v>
      </x:c>
    </x:row>
    <x:row r="4">
      <x:c r="A4" t="str">
        <x:v>AC-003</x:v>
      </x:c>
      <x:c r="B4" t="str">
        <x:v>Rule ownership</x:v>
      </x:c>
      <x:c r="C4" s="22" t="str">
        <x:v>The rule engine, not the LLM, controls priority and management output.</x:v>
      </x:c>
      <x:c r="D4" s="22" t="str">
        <x:v>Must pass</x:v>
      </x:c>
      <x:c r="E4" s="22" t="str">
        <x:v>Pending</x:v>
      </x:c>
    </x:row>
    <x:row r="5">
      <x:c r="A5" t="str">
        <x:v>AC-004</x:v>
      </x:c>
      <x:c r="B5" t="str">
        <x:v>Input validation</x:v>
      </x:c>
      <x:c r="C5" s="22" t="str">
        <x:v>Missing values, uncertain context and unsupported units block or limit the output.</x:v>
      </x:c>
      <x:c r="D5" s="22" t="str">
        <x:v>Must pass</x:v>
      </x:c>
      <x:c r="E5" s="22" t="str">
        <x:v>Pending</x:v>
      </x:c>
    </x:row>
    <x:row r="6">
      <x:c r="A6" t="str">
        <x:v>AC-005</x:v>
      </x:c>
      <x:c r="B6" t="str">
        <x:v>Traceability</x:v>
      </x:c>
      <x:c r="C6" s="22" t="str">
        <x:v>Every result includes the rule ID, NICE code and recommendation section.</x:v>
      </x:c>
      <x:c r="D6" s="22" t="str">
        <x:v>Must pass</x:v>
      </x:c>
      <x:c r="E6" s="22" t="str">
        <x:v>Pending</x:v>
      </x:c>
    </x:row>
    <x:row r="7">
      <x:c r="A7" t="str">
        <x:v>AC-006</x:v>
      </x:c>
      <x:c r="B7" t="str">
        <x:v>Resource separation</x:v>
      </x:c>
      <x:c r="C7" s="22" t="str">
        <x:v>Additional articles are clearly labelled and cannot modify NICE management.</x:v>
      </x:c>
      <x:c r="D7" s="22" t="str">
        <x:v>Must pass</x:v>
      </x:c>
      <x:c r="E7" s="22" t="str">
        <x:v>Pending</x:v>
      </x:c>
    </x:row>
    <x:row r="8">
      <x:c r="A8" t="str">
        <x:v>AC-007</x:v>
      </x:c>
      <x:c r="B8" t="str">
        <x:v>Privacy</x:v>
      </x:c>
      <x:c r="C8" s="22" t="str">
        <x:v>External literature searches receive controlled terms, not patient notes or identifiers.</x:v>
      </x:c>
      <x:c r="D8" s="22" t="str">
        <x:v>Must pass</x:v>
      </x:c>
      <x:c r="E8" s="22" t="str">
        <x:v>Pending</x:v>
      </x:c>
    </x:row>
    <x:row r="9">
      <x:c r="A9" t="str">
        <x:v>AC-008</x:v>
      </x:c>
      <x:c r="B9" t="str">
        <x:v>Clinical review</x:v>
      </x:c>
      <x:c r="C9" s="22" t="str">
        <x:v>A qualified clinician approves every active rule and representative test case.</x:v>
      </x:c>
      <x:c r="D9" s="22" t="str">
        <x:v>Must pass</x:v>
      </x:c>
      <x:c r="E9" s="22" t="str">
        <x:v>Pending</x:v>
      </x:c>
    </x:row>
    <x:row r="10">
      <x:c r="A10" t="str">
        <x:v>AC-009</x:v>
      </x:c>
      <x:c r="B10" t="str">
        <x:v>Synthetic demo</x:v>
      </x:c>
      <x:c r="C10" s="22" t="str">
        <x:v>Public demo uses synthetic data only.</x:v>
      </x:c>
      <x:c r="D10" s="22" t="str">
        <x:v>Must pass</x:v>
      </x:c>
      <x:c r="E10" s="22" t="str">
        <x:v>Pending</x:v>
      </x:c>
    </x:row>
    <x:row r="11">
      <x:c r="A11" t="str">
        <x:v>AC-010</x:v>
      </x:c>
      <x:c r="B11" t="str">
        <x:v>Boundary tests</x:v>
      </x:c>
      <x:c r="C11" s="22" t="str">
        <x:v>All threshold and context boundary tests pass before release.</x:v>
      </x:c>
      <x:c r="D11" s="22" t="str">
        <x:v>Must pass</x:v>
      </x:c>
      <x:c r="E11" s="22" t="str">
        <x:v>Pending</x:v>
      </x:c>
    </x:row>
  </x:sheetData>
  <x:dataValidations count="1">
    <x:dataValidation type="list" sqref="E2:E11">
      <x:formula1>"Pending,Pass,Fail,Not applicable"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0" hidden="0" customWidth="1"/>
    <x:col min="3" max="3" width="82" hidden="0" customWidth="1"/>
    <x:col min="4" max="4" width="24" hidden="0" customWidth="1"/>
  </x:cols>
  <x:sheetData>
    <x:row r="1" ht="30" customHeight="1">
      <x:c r="A1" s="12" t="str">
        <x:v>field_name</x:v>
      </x:c>
      <x:c r="B1" s="12" t="str">
        <x:v>data_type</x:v>
      </x:c>
      <x:c r="C1" s="12" t="str">
        <x:v>description</x:v>
      </x:c>
      <x:c r="D1" s="12" t="str">
        <x:v>role</x:v>
      </x:c>
    </x:row>
    <x:row r="2">
      <x:c r="A2" t="str">
        <x:v>case_id</x:v>
      </x:c>
      <x:c r="B2" t="str">
        <x:v>string</x:v>
      </x:c>
      <x:c r="C2" s="22" t="str">
        <x:v>Unique synthetic case ID.</x:v>
      </x:c>
      <x:c r="D2" s="22" t="str">
        <x:v>Input/testing</x:v>
      </x:c>
    </x:row>
    <x:row r="3">
      <x:c r="A3" t="str">
        <x:v>note_text</x:v>
      </x:c>
      <x:c r="B3" t="str">
        <x:v>string</x:v>
      </x:c>
      <x:c r="C3" s="22" t="str">
        <x:v>Synthetic narrative used to test LLM extraction.</x:v>
      </x:c>
      <x:c r="D3" s="22" t="str">
        <x:v>Input</x:v>
      </x:c>
    </x:row>
    <x:row r="4">
      <x:c r="A4" t="str">
        <x:v>clinical_context</x:v>
      </x:c>
      <x:c r="B4" t="str">
        <x:v>category</x:v>
      </x:c>
      <x:c r="C4" s="22" t="str">
        <x:v>Context required before NICE rule evaluation.</x:v>
      </x:c>
      <x:c r="D4" s="22" t="str">
        <x:v>Input</x:v>
      </x:c>
    </x:row>
    <x:row r="5">
      <x:c r="A5" t="str">
        <x:v>measured_value</x:v>
      </x:c>
      <x:c r="B5" t="str">
        <x:v>number</x:v>
      </x:c>
      <x:c r="C5" s="22" t="str">
        <x:v>Synthetic electrolyte value.</x:v>
      </x:c>
      <x:c r="D5" s="22" t="str">
        <x:v>Input</x:v>
      </x:c>
    </x:row>
    <x:row r="6">
      <x:c r="A6" t="str">
        <x:v>baseline_value</x:v>
      </x:c>
      <x:c r="B6" t="str">
        <x:v>number</x:v>
      </x:c>
      <x:c r="C6" s="22" t="str">
        <x:v>Previous or baseline synthetic value where relevant.</x:v>
      </x:c>
      <x:c r="D6" s="22" t="str">
        <x:v>Input</x:v>
      </x:c>
    </x:row>
    <x:row r="7">
      <x:c r="A7" t="str">
        <x:v>ckd_stage</x:v>
      </x:c>
      <x:c r="B7" t="str">
        <x:v>category</x:v>
      </x:c>
      <x:c r="C7" s="22" t="str">
        <x:v>None, 3a, 3b, 4 or 5.</x:v>
      </x:c>
      <x:c r="D7" s="22" t="str">
        <x:v>Input</x:v>
      </x:c>
    </x:row>
    <x:row r="8">
      <x:c r="A8" t="str">
        <x:v>raas_antagonist_status</x:v>
      </x:c>
      <x:c r="B8" t="str">
        <x:v>category</x:v>
      </x:c>
      <x:c r="C8" s="22" t="str">
        <x:v>Medicine status used for NG203, TA1148 or TA623 eligibility.</x:v>
      </x:c>
      <x:c r="D8" s="22" t="str">
        <x:v>Input</x:v>
      </x:c>
    </x:row>
    <x:row r="9">
      <x:c r="A9" t="str">
        <x:v>rule_id</x:v>
      </x:c>
      <x:c r="B9" t="str">
        <x:v>string</x:v>
      </x:c>
      <x:c r="C9" s="22" t="str">
        <x:v>Deterministic rule selected by the expected logic.</x:v>
      </x:c>
      <x:c r="D9" s="22" t="str">
        <x:v>Label/traceability</x:v>
      </x:c>
    </x:row>
    <x:row r="10">
      <x:c r="A10" t="str">
        <x:v>nice_coverage_level</x:v>
      </x:c>
      <x:c r="B10" t="str">
        <x:v>category</x:v>
      </x:c>
      <x:c r="C10" s="22" t="str">
        <x:v>Strength and specificity of NICE coverage.</x:v>
      </x:c>
      <x:c r="D10" s="22" t="str">
        <x:v>Output</x:v>
      </x:c>
    </x:row>
    <x:row r="11">
      <x:c r="A11" t="str">
        <x:v>output_status</x:v>
      </x:c>
      <x:c r="B11" t="str">
        <x:v>category</x:v>
      </x:c>
      <x:c r="C11" s="22" t="str">
        <x:v>Specific action, eligibility, escalation or unsupported state.</x:v>
      </x:c>
      <x:c r="D11" s="22" t="str">
        <x:v>Output</x:v>
      </x:c>
    </x:row>
    <x:row r="12">
      <x:c r="A12" t="str">
        <x:v>management_output</x:v>
      </x:c>
      <x:c r="B12" t="str">
        <x:v>string</x:v>
      </x:c>
      <x:c r="C12" s="22" t="str">
        <x:v>Paraphrased NICE-derived action or safe unsupported response.</x:v>
      </x:c>
      <x:c r="D12" s="22" t="str">
        <x:v>Output</x:v>
      </x:c>
    </x:row>
    <x:row r="13">
      <x:c r="A13" t="str">
        <x:v>limitations</x:v>
      </x:c>
      <x:c r="B13" t="str">
        <x:v>string</x:v>
      </x:c>
      <x:c r="C13" s="22" t="str">
        <x:v>Scope limits that must be shown to the user.</x:v>
      </x:c>
      <x:c r="D13" s="22" t="str">
        <x:v>Output</x:v>
      </x:c>
    </x:row>
    <x:row r="14">
      <x:c r="A14" t="str">
        <x:v>nice_source_ids</x:v>
      </x:c>
      <x:c r="B14" t="str">
        <x:v>string</x:v>
      </x:c>
      <x:c r="C14" s="22" t="str">
        <x:v>NICE source code(s) linked to the result.</x:v>
      </x:c>
      <x:c r="D14" s="22" t="str">
        <x:v>Traceability</x:v>
      </x:c>
    </x:row>
    <x:row r="15">
      <x:c r="A15" t="str">
        <x:v>nice_sections</x:v>
      </x:c>
      <x:c r="B15" t="str">
        <x:v>string</x:v>
      </x:c>
      <x:c r="C15" s="22" t="str">
        <x:v>Exact recommendation sections.</x:v>
      </x:c>
      <x:c r="D15" s="22" t="str">
        <x:v>Traceability</x:v>
      </x:c>
    </x:row>
    <x:row r="16">
      <x:c r="A16" t="str">
        <x:v>resource_search_query</x:v>
      </x:c>
      <x:c r="B16" t="str">
        <x:v>string</x:v>
      </x:c>
      <x:c r="C16" s="22" t="str">
        <x:v>Controlled literature query without patient identifiers.</x:v>
      </x:c>
      <x:c r="D16" s="22" t="str">
        <x:v>Resource retrieval</x:v>
      </x:c>
    </x:row>
    <x:row r="17">
      <x:c r="A17" t="str">
        <x:v>data_split</x:v>
      </x:c>
      <x:c r="B17" t="str">
        <x:v>category</x:v>
      </x:c>
      <x:c r="C17" s="22" t="str">
        <x:v>Train, validation or test split.</x:v>
      </x:c>
      <x:c r="D17" s="22" t="str">
        <x:v>Evaluation</x:v>
      </x:c>
    </x:row>
    <x:row r="18">
      <x:c r="A18" t="str">
        <x:v>synthetic_flag</x:v>
      </x:c>
      <x:c r="B18" t="str">
        <x:v>Yes/No</x:v>
      </x:c>
      <x:c r="C18" s="22" t="str">
        <x:v>Always Yes in this dataset.</x:v>
      </x:c>
      <x:c r="D18" s="22" t="str">
        <x:v>Governance</x:v>
      </x:c>
    </x:row>
    <x:row r="19">
      <x:c r="A19" t="str">
        <x:v>clinician_review_status</x:v>
      </x:c>
      <x:c r="B19" t="str">
        <x:v>category</x:v>
      </x:c>
      <x:c r="C19" s="22" t="str">
        <x:v>Approval status of the expected clinical output.</x:v>
      </x:c>
      <x:c r="D19" s="22" t="str">
        <x:v>Governance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54" hidden="0" customWidth="1"/>
    <x:col min="4" max="4" width="24" hidden="0" customWidth="1"/>
    <x:col min="5" max="5" width="14" hidden="0" customWidth="1"/>
    <x:col min="6" max="6" width="14" hidden="0" customWidth="1"/>
    <x:col min="7" max="7" width="58" hidden="0" customWidth="1"/>
    <x:col min="8" max="8" width="34" hidden="0" customWidth="1"/>
    <x:col min="9" max="9" width="70" hidden="0" customWidth="1"/>
    <x:col min="10" max="10" width="14" hidden="0" customWidth="1"/>
  </x:cols>
  <x:sheetData>
    <x:row r="1" ht="30" customHeight="1">
      <x:c r="A1" s="12" t="str">
        <x:v>source_id</x:v>
      </x:c>
      <x:c r="B1" s="12" t="str">
        <x:v>guidance_code</x:v>
      </x:c>
      <x:c r="C1" s="12" t="str">
        <x:v>title</x:v>
      </x:c>
      <x:c r="D1" s="12" t="str">
        <x:v>source_type</x:v>
      </x:c>
      <x:c r="E1" s="12" t="str">
        <x:v>published_date</x:v>
      </x:c>
      <x:c r="F1" s="12" t="str">
        <x:v>last_updated</x:v>
      </x:c>
      <x:c r="G1" s="12" t="str">
        <x:v>scope</x:v>
      </x:c>
      <x:c r="H1" s="12" t="str">
        <x:v>relevant_sections</x:v>
      </x:c>
      <x:c r="I1" s="12" t="str">
        <x:v>url</x:v>
      </x:c>
      <x:c r="J1" s="12" t="str">
        <x:v>use_in_project</x:v>
      </x:c>
      <x:c r="K1" t="str">
        <x:v>checked_on</x:v>
      </x:c>
    </x:row>
    <x:row r="2">
      <x:c r="A2" t="str">
        <x:v>NICE-CG174</x:v>
      </x:c>
      <x:c r="B2" t="str">
        <x:v>CG174</x:v>
      </x:c>
      <x:c r="C2" s="22" t="str">
        <x:v>Intravenous fluid therapy in adults in hospital</x:v>
      </x:c>
      <x:c r="D2" s="22" t="str">
        <x:v>Clinical guideline</x:v>
      </x:c>
      <x:c r="E2" s="22" t="str">
        <x:v>2013-12-10</x:v>
      </x:c>
      <x:c r="F2" s="22" t="str">
        <x:v>2017-05-05</x:v>
      </x:c>
      <x:c r="G2" s="22" t="str">
        <x:v>Adults aged 16+ receiving IV fluid therapy in hospital; excludes several special populations.</x:v>
      </x:c>
      <x:c r="H2" s="22" t="str">
        <x:v>1.1.1, 1.2.2, 1.2.4, 1.5.1, 1.5.2 and Table 1</x:v>
      </x:c>
      <x:c r="I2" s="22" t="str">
        <x:v>https://www.nice.org.uk/guidance/cg174/chapter/Recommendations</x:v>
      </x:c>
      <x:c r="J2" s="22" t="str">
        <x:v>Assessment, monitoring, IV-fluid-related electrolyte incidents and expert escalation.</x:v>
      </x:c>
      <x:c r="K2" t="str">
        <x:v>2026-08-07</x:v>
      </x:c>
    </x:row>
    <x:row r="3">
      <x:c r="A3" t="str">
        <x:v>NICE-NG203</x:v>
      </x:c>
      <x:c r="B3" t="str">
        <x:v>NG203</x:v>
      </x:c>
      <x:c r="C3" s="22" t="str">
        <x:v>Chronic kidney disease: assessment and management</x:v>
      </x:c>
      <x:c r="D3" s="22" t="str">
        <x:v>NICE guideline</x:v>
      </x:c>
      <x:c r="E3" s="22" t="str">
        <x:v>2021-08-25</x:v>
      </x:c>
      <x:c r="F3" s="22" t="str"/>
      <x:c r="G3" s="22" t="str">
        <x:v>CKD assessment and management, including potassium monitoring with renin–angiotensin system antagonists.</x:v>
      </x:c>
      <x:c r="H3" s="22" t="str">
        <x:v>1.6.15 to 1.6.20</x:v>
      </x:c>
      <x:c r="I3" s="22" t="str">
        <x:v>https://www.nice.org.uk/guidance/ng203/chapter/Recommendations</x:v>
      </x:c>
      <x:c r="J3" s="22" t="str">
        <x:v>Hyperkalaemia monitoring and RAAS-antagonist decisions in adults with CKD.</x:v>
      </x:c>
      <x:c r="K3" t="str">
        <x:v>2026-08-07</x:v>
      </x:c>
    </x:row>
    <x:row r="4">
      <x:c r="A4" t="str">
        <x:v>NICE-TA1148</x:v>
      </x:c>
      <x:c r="B4" t="str">
        <x:v>TA1148</x:v>
      </x:c>
      <x:c r="C4" s="22" t="str">
        <x:v>Sodium zirconium cyclosilicate for treating hyperkalaemia</x:v>
      </x:c>
      <x:c r="D4" s="22" t="str">
        <x:v>Technology appraisal</x:v>
      </x:c>
      <x:c r="E4" s="22" t="str">
        <x:v>2026-04-29</x:v>
      </x:c>
      <x:c r="F4" s="22" t="str"/>
      <x:c r="G4" s="22" t="str">
        <x:v>Adults with acute life-threatening or persistent hyperkalaemia in specified CKD or heart-failure contexts.</x:v>
      </x:c>
      <x:c r="H4" s="22" t="str">
        <x:v>1.1 and 1.2</x:v>
      </x:c>
      <x:c r="I4" s="22" t="str">
        <x:v>https://www.nice.org.uk/guidance/ta1148/chapter/1-Recommendations</x:v>
      </x:c>
      <x:c r="J4" s="22" t="str">
        <x:v>Eligibility flag for sodium zirconium cyclosilicate; not a complete emergency pathway.</x:v>
      </x:c>
      <x:c r="K4" t="str">
        <x:v>2026-08-07</x:v>
      </x:c>
    </x:row>
    <x:row r="5">
      <x:c r="A5" t="str">
        <x:v>NICE-TA623</x:v>
      </x:c>
      <x:c r="B5" t="str">
        <x:v>TA623</x:v>
      </x:c>
      <x:c r="C5" s="22" t="str">
        <x:v>Patiromer for treating hyperkalaemia</x:v>
      </x:c>
      <x:c r="D5" s="22" t="str">
        <x:v>Technology appraisal</x:v>
      </x:c>
      <x:c r="E5" s="22" t="str">
        <x:v>2020-02-13</x:v>
      </x:c>
      <x:c r="F5" s="22" t="str"/>
      <x:c r="G5" s="22" t="str">
        <x:v>Adults with acute life-threatening or persistent hyperkalaemia in specified CKD or heart-failure contexts.</x:v>
      </x:c>
      <x:c r="H5" s="22" t="str">
        <x:v>1.1 to 1.3</x:v>
      </x:c>
      <x:c r="I5" s="22" t="str">
        <x:v>https://www.nice.org.uk/guidance/ta623/chapter/1-Recommendations</x:v>
      </x:c>
      <x:c r="J5" s="22" t="str">
        <x:v>Eligibility flag for patiromer; not a complete emergency pathway.</x:v>
      </x:c>
      <x:c r="K5" t="str">
        <x:v>2026-08-07</x:v>
      </x:c>
    </x:row>
    <x:row r="6">
      <x:c r="A6" t="str">
        <x:v>NICE-NG148</x:v>
      </x:c>
      <x:c r="B6" t="str">
        <x:v>NG148</x:v>
      </x:c>
      <x:c r="C6" s="22" t="str">
        <x:v>Acute kidney injury: prevention, detection and management</x:v>
      </x:c>
      <x:c r="D6" s="22" t="str">
        <x:v>NICE guideline</x:v>
      </x:c>
      <x:c r="E6" s="22" t="str">
        <x:v>2019-12-18</x:v>
      </x:c>
      <x:c r="F6" s="22" t="str">
        <x:v>2024-10-16</x:v>
      </x:c>
      <x:c r="G6" s="22" t="str">
        <x:v>Children, young people and adults with or at risk of acute kidney injury.</x:v>
      </x:c>
      <x:c r="H6" s="22" t="str">
        <x:v>1.5.8 to 1.5.11</x:v>
      </x:c>
      <x:c r="I6" s="22" t="str">
        <x:v>https://www.nice.org.uk/guidance/ng148/chapter/Recommendations</x:v>
      </x:c>
      <x:c r="J6" s="22" t="str">
        <x:v>Specialist referral when hyperkalaemia is not responding to medical management; avoid decisions from an isolated value.</x:v>
      </x:c>
      <x:c r="K6" t="str">
        <x:v>2026-08-07</x:v>
      </x:c>
    </x:row>
    <x:row r="7">
      <x:c r="A7" t="str">
        <x:v>NICE-NG132</x:v>
      </x:c>
      <x:c r="B7" t="str">
        <x:v>NG132</x:v>
      </x:c>
      <x:c r="C7" s="22" t="str">
        <x:v>Hyperparathyroidism (primary): diagnosis, assessment and initial management</x:v>
      </x:c>
      <x:c r="D7" s="22" t="str">
        <x:v>NICE guideline</x:v>
      </x:c>
      <x:c r="E7" s="22" t="str">
        <x:v>2019-05-23</x:v>
      </x:c>
      <x:c r="F7" s="22" t="str"/>
      <x:c r="G7" s="22" t="str">
        <x:v>Primary hyperparathyroidism, including hypercalcaemia assessment and referral.</x:v>
      </x:c>
      <x:c r="H7" s="22" t="str">
        <x:v>1.1.1, 1.3.1, 1.3.2 and Terms used</x:v>
      </x:c>
      <x:c r="I7" s="22" t="str">
        <x:v>https://www.nice.org.uk/guidance/ng132/chapter/Recommendations</x:v>
      </x:c>
      <x:c r="J7" s="22" t="str">
        <x:v>Hypercalcaemia in suspected or confirmed primary hyperparathyroidism.</x:v>
      </x:c>
      <x:c r="K7" t="str">
        <x:v>2026-08-07</x:v>
      </x:c>
    </x:row>
    <x:row r="8">
      <x:c r="A8" t="str">
        <x:v>NICE-NG243</x:v>
      </x:c>
      <x:c r="B8" t="str">
        <x:v>NG243</x:v>
      </x:c>
      <x:c r="C8" s="22" t="str">
        <x:v>Adrenal insufficiency: identification and management</x:v>
      </x:c>
      <x:c r="D8" s="22" t="str">
        <x:v>NICE guideline</x:v>
      </x:c>
      <x:c r="E8" s="22" t="str">
        <x:v>2024-08-28</x:v>
      </x:c>
      <x:c r="F8" s="22" t="str"/>
      <x:c r="G8" s="22" t="str">
        <x:v>Primary, secondary and tertiary adrenal insufficiency.</x:v>
      </x:c>
      <x:c r="H8" s="22" t="str">
        <x:v>1.2.1, 1.3.5, 1.3.6 and 1.6.1</x:v>
      </x:c>
      <x:c r="I8" s="22" t="str">
        <x:v>https://www.nice.org.uk/guidance/NG243/chapter/recommendations</x:v>
      </x:c>
      <x:c r="J8" s="22" t="str">
        <x:v>Context-specific hyponatraemia management in primary adrenal insufficiency.</x:v>
      </x:c>
      <x:c r="K8" t="str">
        <x:v>2026-08-07</x:v>
      </x:c>
    </x:row>
    <x:row r="9">
      <x:c r="A9" t="str">
        <x:v>NICE-NG235</x:v>
      </x:c>
      <x:c r="B9" t="str">
        <x:v>NG235</x:v>
      </x:c>
      <x:c r="C9" s="22" t="str">
        <x:v>Intrapartum care</x:v>
      </x:c>
      <x:c r="D9" s="22" t="str">
        <x:v>NICE guideline</x:v>
      </x:c>
      <x:c r="E9" s="22" t="str">
        <x:v>2023-09-29</x:v>
      </x:c>
      <x:c r="F9" s="22" t="str">
        <x:v>2026-06-09</x:v>
      </x:c>
      <x:c r="G9" s="22" t="str">
        <x:v>Intrapartum care, including peripartum fluid balance and hyponatraemia.</x:v>
      </x:c>
      <x:c r="H9" s="22" t="str">
        <x:v>1.8.28 to 1.8.31</x:v>
      </x:c>
      <x:c r="I9" s="22" t="str">
        <x:v>https://www.nice.org.uk/guidance/ng235/chapter/Recommendations</x:v>
      </x:c>
      <x:c r="J9" s="22" t="str">
        <x:v>Pregnancy-specific hyponatraemia escalation; general adult MVP keeps pregnancy out of scope.</x:v>
      </x:c>
      <x:c r="K9" t="str">
        <x:v>2026-08-07</x:v>
      </x:c>
    </x:row>
  </x:sheetData>
  <x:pageMargins left="0.7" right="0.7" top="0.75" bottom="0.75" header="0.3" footer="0.3"/>
</x:worksheet>
</file>